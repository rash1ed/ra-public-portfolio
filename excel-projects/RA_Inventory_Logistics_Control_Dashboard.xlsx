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llSl\Documents\ra-public-portfolio\excel-projects\"/>
    </mc:Choice>
  </mc:AlternateContent>
  <xr:revisionPtr revIDLastSave="0" documentId="13_ncr:1_{32D36405-EF14-4A1B-8FFF-2158C6CD4C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Inventory" sheetId="2" r:id="rId2"/>
    <sheet name="Suppliers" sheetId="3" r:id="rId3"/>
    <sheet name="Lists" sheetId="4" r:id="rId4"/>
  </sheets>
  <definedNames>
    <definedName name="_xlnm.Print_Area" localSheetId="0">Dashboard!$A$1:$O$38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F24" i="1" s="1"/>
  <c r="B6" i="3"/>
  <c r="B24" i="1" s="1"/>
  <c r="F5" i="3"/>
  <c r="F23" i="1" s="1"/>
  <c r="E5" i="3"/>
  <c r="E23" i="1" s="1"/>
  <c r="D5" i="3"/>
  <c r="D23" i="1" s="1"/>
  <c r="C5" i="3"/>
  <c r="C23" i="1" s="1"/>
  <c r="B5" i="3"/>
  <c r="B23" i="1" s="1"/>
  <c r="F4" i="3"/>
  <c r="F22" i="1" s="1"/>
  <c r="E4" i="3"/>
  <c r="E22" i="1" s="1"/>
  <c r="D4" i="3"/>
  <c r="D22" i="1" s="1"/>
  <c r="B4" i="3"/>
  <c r="B22" i="1" s="1"/>
  <c r="F3" i="3"/>
  <c r="F21" i="1" s="1"/>
  <c r="E3" i="3"/>
  <c r="E21" i="1" s="1"/>
  <c r="D3" i="3"/>
  <c r="D21" i="1" s="1"/>
  <c r="C3" i="3"/>
  <c r="C21" i="1" s="1"/>
  <c r="B3" i="3"/>
  <c r="B21" i="1" s="1"/>
  <c r="F2" i="3"/>
  <c r="F20" i="1" s="1"/>
  <c r="E2" i="3"/>
  <c r="E20" i="1" s="1"/>
  <c r="D2" i="3"/>
  <c r="D20" i="1" s="1"/>
  <c r="C2" i="3"/>
  <c r="C20" i="1" s="1"/>
  <c r="B2" i="3"/>
  <c r="B20" i="1" s="1"/>
  <c r="M51" i="2"/>
  <c r="L51" i="2"/>
  <c r="C6" i="3" s="1"/>
  <c r="C24" i="1" s="1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B13" i="1" s="1"/>
  <c r="K18" i="2"/>
  <c r="M17" i="2"/>
  <c r="L17" i="2"/>
  <c r="B12" i="1" s="1"/>
  <c r="K17" i="2"/>
  <c r="M16" i="2"/>
  <c r="L16" i="2"/>
  <c r="B16" i="1" s="1"/>
  <c r="K16" i="2"/>
  <c r="M15" i="2"/>
  <c r="L15" i="2"/>
  <c r="B15" i="1" s="1"/>
  <c r="K15" i="2"/>
  <c r="C8" i="1" s="1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A24" i="1"/>
  <c r="A23" i="1"/>
  <c r="A22" i="1"/>
  <c r="A21" i="1"/>
  <c r="A20" i="1"/>
  <c r="G8" i="1"/>
  <c r="E8" i="1"/>
  <c r="C5" i="1"/>
  <c r="A5" i="1"/>
  <c r="E6" i="3" l="1"/>
  <c r="E24" i="1" s="1"/>
  <c r="D6" i="3"/>
  <c r="D24" i="1" s="1"/>
  <c r="E13" i="1"/>
  <c r="E5" i="1"/>
  <c r="E12" i="1"/>
  <c r="G5" i="1"/>
  <c r="E14" i="1"/>
  <c r="A8" i="1"/>
  <c r="B14" i="1"/>
  <c r="C4" i="3"/>
  <c r="C22" i="1" s="1"/>
</calcChain>
</file>

<file path=xl/sharedStrings.xml><?xml version="1.0" encoding="utf-8"?>
<sst xmlns="http://schemas.openxmlformats.org/spreadsheetml/2006/main" count="268" uniqueCount="137">
  <si>
    <t>RA | Inventory &amp; Logistics Control Dashboard</t>
  </si>
  <si>
    <t>Synthetic supply-chain portfolio project for inventory control, purchasing visibility and logistics reporting</t>
  </si>
  <si>
    <t>Total SKUs</t>
  </si>
  <si>
    <t>Inventory Value</t>
  </si>
  <si>
    <t>Critical SKUs</t>
  </si>
  <si>
    <t>Reorder SKUs</t>
  </si>
  <si>
    <t>Healthy SKUs</t>
  </si>
  <si>
    <t>Avg Cover Days</t>
  </si>
  <si>
    <t>Suppliers</t>
  </si>
  <si>
    <t>Avg Lead Time</t>
  </si>
  <si>
    <t>Category</t>
  </si>
  <si>
    <t>Risk</t>
  </si>
  <si>
    <t>SKUs</t>
  </si>
  <si>
    <t>Electronics</t>
  </si>
  <si>
    <t>Critical</t>
  </si>
  <si>
    <t>Consumables</t>
  </si>
  <si>
    <t>Reorder</t>
  </si>
  <si>
    <t>Packaging</t>
  </si>
  <si>
    <t>Healthy</t>
  </si>
  <si>
    <t>Tools</t>
  </si>
  <si>
    <t>Office</t>
  </si>
  <si>
    <t>Supplier</t>
  </si>
  <si>
    <t>SKU</t>
  </si>
  <si>
    <t>Item</t>
  </si>
  <si>
    <t>On Hand</t>
  </si>
  <si>
    <t>Reorder Point</t>
  </si>
  <si>
    <t>Safety Stock</t>
  </si>
  <si>
    <t>Unit Cost</t>
  </si>
  <si>
    <t>Lead Time Days</t>
  </si>
  <si>
    <t>Demand 30d</t>
  </si>
  <si>
    <t>Stock Cover Days</t>
  </si>
  <si>
    <t>Stock Value</t>
  </si>
  <si>
    <t>SKU-001</t>
  </si>
  <si>
    <t>Portfolio Item 1</t>
  </si>
  <si>
    <t>Supplier A</t>
  </si>
  <si>
    <t>SKU-002</t>
  </si>
  <si>
    <t>Portfolio Item 2</t>
  </si>
  <si>
    <t>Supplier B</t>
  </si>
  <si>
    <t>SKU-003</t>
  </si>
  <si>
    <t>Portfolio Item 3</t>
  </si>
  <si>
    <t>Supplier C</t>
  </si>
  <si>
    <t>SKU-004</t>
  </si>
  <si>
    <t>Portfolio Item 4</t>
  </si>
  <si>
    <t>Supplier D</t>
  </si>
  <si>
    <t>SKU-005</t>
  </si>
  <si>
    <t>Portfolio Item 5</t>
  </si>
  <si>
    <t>Supplier E</t>
  </si>
  <si>
    <t>SKU-006</t>
  </si>
  <si>
    <t>Portfolio Item 6</t>
  </si>
  <si>
    <t>SKU-007</t>
  </si>
  <si>
    <t>Portfolio Item 7</t>
  </si>
  <si>
    <t>SKU-008</t>
  </si>
  <si>
    <t>Portfolio Item 8</t>
  </si>
  <si>
    <t>SKU-009</t>
  </si>
  <si>
    <t>Portfolio Item 9</t>
  </si>
  <si>
    <t>SKU-010</t>
  </si>
  <si>
    <t>Portfolio Item 10</t>
  </si>
  <si>
    <t>SKU-011</t>
  </si>
  <si>
    <t>Portfolio Item 11</t>
  </si>
  <si>
    <t>SKU-012</t>
  </si>
  <si>
    <t>Portfolio Item 12</t>
  </si>
  <si>
    <t>SKU-013</t>
  </si>
  <si>
    <t>Portfolio Item 13</t>
  </si>
  <si>
    <t>SKU-014</t>
  </si>
  <si>
    <t>Portfolio Item 14</t>
  </si>
  <si>
    <t>SKU-015</t>
  </si>
  <si>
    <t>Portfolio Item 15</t>
  </si>
  <si>
    <t>SKU-016</t>
  </si>
  <si>
    <t>Portfolio Item 16</t>
  </si>
  <si>
    <t>SKU-017</t>
  </si>
  <si>
    <t>Portfolio Item 17</t>
  </si>
  <si>
    <t>SKU-018</t>
  </si>
  <si>
    <t>Portfolio Item 18</t>
  </si>
  <si>
    <t>SKU-019</t>
  </si>
  <si>
    <t>Portfolio Item 19</t>
  </si>
  <si>
    <t>SKU-020</t>
  </si>
  <si>
    <t>Portfolio Item 20</t>
  </si>
  <si>
    <t>SKU-021</t>
  </si>
  <si>
    <t>Portfolio Item 21</t>
  </si>
  <si>
    <t>SKU-022</t>
  </si>
  <si>
    <t>Portfolio Item 22</t>
  </si>
  <si>
    <t>SKU-023</t>
  </si>
  <si>
    <t>Portfolio Item 23</t>
  </si>
  <si>
    <t>SKU-024</t>
  </si>
  <si>
    <t>Portfolio Item 24</t>
  </si>
  <si>
    <t>SKU-025</t>
  </si>
  <si>
    <t>Portfolio Item 25</t>
  </si>
  <si>
    <t>SKU-026</t>
  </si>
  <si>
    <t>Portfolio Item 26</t>
  </si>
  <si>
    <t>SKU-027</t>
  </si>
  <si>
    <t>Portfolio Item 27</t>
  </si>
  <si>
    <t>SKU-028</t>
  </si>
  <si>
    <t>Portfolio Item 28</t>
  </si>
  <si>
    <t>SKU-029</t>
  </si>
  <si>
    <t>Portfolio Item 29</t>
  </si>
  <si>
    <t>SKU-030</t>
  </si>
  <si>
    <t>Portfolio Item 30</t>
  </si>
  <si>
    <t>SKU-031</t>
  </si>
  <si>
    <t>Portfolio Item 31</t>
  </si>
  <si>
    <t>SKU-032</t>
  </si>
  <si>
    <t>Portfolio Item 32</t>
  </si>
  <si>
    <t>SKU-033</t>
  </si>
  <si>
    <t>Portfolio Item 33</t>
  </si>
  <si>
    <t>SKU-034</t>
  </si>
  <si>
    <t>Portfolio Item 34</t>
  </si>
  <si>
    <t>SKU-035</t>
  </si>
  <si>
    <t>Portfolio Item 35</t>
  </si>
  <si>
    <t>SKU-036</t>
  </si>
  <si>
    <t>Portfolio Item 36</t>
  </si>
  <si>
    <t>SKU-037</t>
  </si>
  <si>
    <t>Portfolio Item 37</t>
  </si>
  <si>
    <t>SKU-038</t>
  </si>
  <si>
    <t>Portfolio Item 38</t>
  </si>
  <si>
    <t>SKU-039</t>
  </si>
  <si>
    <t>Portfolio Item 39</t>
  </si>
  <si>
    <t>SKU-040</t>
  </si>
  <si>
    <t>Portfolio Item 40</t>
  </si>
  <si>
    <t>SKU-041</t>
  </si>
  <si>
    <t>Portfolio Item 41</t>
  </si>
  <si>
    <t>SKU-042</t>
  </si>
  <si>
    <t>Portfolio Item 42</t>
  </si>
  <si>
    <t>SKU-043</t>
  </si>
  <si>
    <t>Portfolio Item 43</t>
  </si>
  <si>
    <t>SKU-044</t>
  </si>
  <si>
    <t>Portfolio Item 44</t>
  </si>
  <si>
    <t>SKU-045</t>
  </si>
  <si>
    <t>Portfolio Item 45</t>
  </si>
  <si>
    <t>SKU-046</t>
  </si>
  <si>
    <t>Portfolio Item 46</t>
  </si>
  <si>
    <t>SKU-047</t>
  </si>
  <si>
    <t>Portfolio Item 47</t>
  </si>
  <si>
    <t>SKU-048</t>
  </si>
  <si>
    <t>Portfolio Item 48</t>
  </si>
  <si>
    <t>SKU-049</t>
  </si>
  <si>
    <t>Portfolio Item 49</t>
  </si>
  <si>
    <t>SKU-050</t>
  </si>
  <si>
    <t>Portfolio Item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</si>
</sst>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b/>
      <sz val="11"/>
      <color rgb="FFFFFFFF"/>
      <name val="Carlito"/>
    </font>
    <font>
      <b/>
      <sz val="18"/>
      <color rgb="FF1F4E78"/>
      <name val="Carlito"/>
    </font>
    <font>
      <i/>
      <sz val="11"/>
      <color rgb="FF666666"/>
      <name val="Carlito"/>
    </font>
    <font>
      <b/>
      <sz val="11"/>
      <name val="Carlito"/>
    </font>
    <font>
      <b/>
      <sz val="18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9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/>
    </xf>
    <xf numFmtId="4" fontId="0" fillId="0" borderId="0" xfId="1" applyNumberFormat="1" applyFont="1"/>
    <xf numFmtId="164" fontId="0" fillId="0" borderId="0" xfId="1" applyNumberFormat="1" applyFont="1"/>
    <xf numFmtId="0" fontId="2" fillId="0" borderId="0" xfId="1" applyFont="1"/>
    <xf numFmtId="0" fontId="3" fillId="0" borderId="0" xfId="1" applyFont="1"/>
    <xf numFmtId="0" fontId="4" fillId="3" borderId="0" xfId="1" applyFont="1" applyFill="1"/>
    <xf numFmtId="0" fontId="5" fillId="4" borderId="0" xfId="1" applyFont="1" applyFill="1" applyAlignment="1">
      <alignment horizontal="center" vertical="center"/>
    </xf>
    <xf numFmtId="4" fontId="5" fillId="4" borderId="0" xfId="1" applyNumberFormat="1" applyFont="1" applyFill="1" applyAlignment="1">
      <alignment horizontal="center" vertical="center"/>
    </xf>
    <xf numFmtId="164" fontId="5" fillId="4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عادي" xfId="0" builtinId="0"/>
  </cellStyles>
  <dxfs count="3">
    <dxf>
      <font>
        <b/>
      </font>
      <fill>
        <patternFill patternType="solid">
          <bgColor rgb="FFD9EAD3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/>
          <a:lstStyle/>
          <a:p>
            <a:r>
              <a:rPr lang="en-US"/>
              <a:t>Inventory Value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Inventory Value</c:v>
          </c:tx>
          <c:invertIfNegative val="1"/>
          <c:cat>
            <c:strRef>
              <c:f>Dashboard!$A$12:$A$16</c:f>
              <c:strCache>
                <c:ptCount val="5"/>
                <c:pt idx="0">
                  <c:v>Electronics</c:v>
                </c:pt>
                <c:pt idx="1">
                  <c:v>Consumables</c:v>
                </c:pt>
                <c:pt idx="2">
                  <c:v>Packaging</c:v>
                </c:pt>
                <c:pt idx="3">
                  <c:v>Tools</c:v>
                </c:pt>
                <c:pt idx="4">
                  <c:v>Office</c:v>
                </c:pt>
              </c:strCache>
            </c:strRef>
          </c:cat>
          <c:val>
            <c:numRef>
              <c:f>Dashboard!$B$12:$B$16</c:f>
              <c:numCache>
                <c:formatCode>#,##0.00</c:formatCode>
                <c:ptCount val="5"/>
                <c:pt idx="0">
                  <c:v>8999.75</c:v>
                </c:pt>
                <c:pt idx="1">
                  <c:v>7519.75</c:v>
                </c:pt>
                <c:pt idx="2">
                  <c:v>7065.25</c:v>
                </c:pt>
                <c:pt idx="3">
                  <c:v>9398.5</c:v>
                </c:pt>
                <c:pt idx="4">
                  <c:v>10496.25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8-479D-A475-111057075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/>
          <a:lstStyle/>
          <a:p>
            <a:r>
              <a:rPr lang="en-US"/>
              <a:t>SKU Risk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SKUs</c:v>
          </c:tx>
          <c:invertIfNegative val="1"/>
          <c:cat>
            <c:strRef>
              <c:f>Dashboard!$D$12:$D$14</c:f>
              <c:strCache>
                <c:ptCount val="3"/>
                <c:pt idx="0">
                  <c:v>Critical</c:v>
                </c:pt>
                <c:pt idx="1">
                  <c:v>Reorder</c:v>
                </c:pt>
                <c:pt idx="2">
                  <c:v>Healthy</c:v>
                </c:pt>
              </c:strCache>
            </c:strRef>
          </c:cat>
          <c:val>
            <c:numRef>
              <c:f>Dashboard!$E$12:$E$14</c:f>
              <c:numCache>
                <c:formatCode>General</c:formatCode>
                <c:ptCount val="3"/>
                <c:pt idx="0">
                  <c:v>12</c:v>
                </c:pt>
                <c:pt idx="1">
                  <c:v>11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D-410A-923F-A1DC17D6F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1:M51" totalsRowShown="0">
  <tableColumns count="13">
    <tableColumn id="1" xr3:uid="{00000000-0010-0000-0000-000001000000}" name="SKU"/>
    <tableColumn id="2" xr3:uid="{00000000-0010-0000-0000-000002000000}" name="Item"/>
    <tableColumn id="3" xr3:uid="{00000000-0010-0000-0000-000003000000}" name="Category"/>
    <tableColumn id="4" xr3:uid="{00000000-0010-0000-0000-000004000000}" name="Supplier"/>
    <tableColumn id="5" xr3:uid="{00000000-0010-0000-0000-000005000000}" name="On Hand"/>
    <tableColumn id="6" xr3:uid="{00000000-0010-0000-0000-000006000000}" name="Reorder Point"/>
    <tableColumn id="7" xr3:uid="{00000000-0010-0000-0000-000007000000}" name="Safety Stock"/>
    <tableColumn id="8" xr3:uid="{00000000-0010-0000-0000-000008000000}" name="Unit Cost"/>
    <tableColumn id="9" xr3:uid="{00000000-0010-0000-0000-000009000000}" name="Lead Time Days"/>
    <tableColumn id="10" xr3:uid="{00000000-0010-0000-0000-00000A000000}" name="Demand 30d"/>
    <tableColumn id="11" xr3:uid="{00000000-0010-0000-0000-00000B000000}" name="Stock Cover Days"/>
    <tableColumn id="12" xr3:uid="{00000000-0010-0000-0000-00000C000000}" name="Stock Value"/>
    <tableColumn id="13" xr3:uid="{00000000-0010-0000-0000-00000D000000}" name="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showGridLines="0" tabSelected="1" zoomScale="90" zoomScaleNormal="90" workbookViewId="0">
      <selection sqref="A1:H1"/>
    </sheetView>
  </sheetViews>
  <sheetFormatPr defaultRowHeight="13.8"/>
  <cols>
    <col min="1" max="1" width="18" customWidth="1"/>
    <col min="2" max="8" width="14" customWidth="1"/>
  </cols>
  <sheetData>
    <row r="1" spans="1:8" ht="22.8">
      <c r="A1" s="4" t="s">
        <v>0</v>
      </c>
      <c r="B1" s="4"/>
      <c r="C1" s="4"/>
      <c r="D1" s="4"/>
      <c r="E1" s="4"/>
      <c r="F1" s="4"/>
      <c r="G1" s="4"/>
      <c r="H1" s="4"/>
    </row>
    <row r="2" spans="1:8" ht="14.4">
      <c r="A2" s="5" t="s">
        <v>1</v>
      </c>
      <c r="B2" s="5"/>
      <c r="C2" s="5"/>
      <c r="D2" s="5"/>
      <c r="E2" s="5"/>
      <c r="F2" s="5"/>
      <c r="G2" s="5"/>
      <c r="H2" s="5"/>
    </row>
    <row r="4" spans="1:8">
      <c r="A4" s="6" t="s">
        <v>2</v>
      </c>
      <c r="B4" s="6"/>
      <c r="C4" s="6" t="s">
        <v>3</v>
      </c>
      <c r="D4" s="6"/>
      <c r="E4" s="6" t="s">
        <v>4</v>
      </c>
      <c r="F4" s="6"/>
      <c r="G4" s="6" t="s">
        <v>5</v>
      </c>
      <c r="H4" s="6"/>
    </row>
    <row r="5" spans="1:8" ht="22.8">
      <c r="A5" s="7">
        <f>COUNTA(Inventory!$A$2:$A$51)</f>
        <v>50</v>
      </c>
      <c r="B5" s="7"/>
      <c r="C5" s="8">
        <f>SUM(Inventory!$L$2:$L$51)</f>
        <v>43479.5</v>
      </c>
      <c r="D5" s="8"/>
      <c r="E5" s="7">
        <f>COUNTIF(Inventory!$M$2:$M$51,"Critical")</f>
        <v>12</v>
      </c>
      <c r="F5" s="7"/>
      <c r="G5" s="7">
        <f>COUNTIF(Inventory!$M$2:$M$51,"Reorder")</f>
        <v>11</v>
      </c>
      <c r="H5" s="7"/>
    </row>
    <row r="7" spans="1:8">
      <c r="A7" s="6" t="s">
        <v>6</v>
      </c>
      <c r="B7" s="6"/>
      <c r="C7" s="6" t="s">
        <v>7</v>
      </c>
      <c r="D7" s="6"/>
      <c r="E7" s="6" t="s">
        <v>8</v>
      </c>
      <c r="F7" s="6"/>
      <c r="G7" s="6" t="s">
        <v>9</v>
      </c>
      <c r="H7" s="6"/>
    </row>
    <row r="8" spans="1:8" ht="22.8">
      <c r="A8" s="7">
        <f>COUNTIF(Inventory!$M$2:$M$51,"Healthy")</f>
        <v>27</v>
      </c>
      <c r="B8" s="7"/>
      <c r="C8" s="9">
        <f>AVERAGE(Inventory!$K$2:$K$51)</f>
        <v>48.31131818181818</v>
      </c>
      <c r="D8" s="9"/>
      <c r="E8" s="7">
        <f>COUNTA(Suppliers!$A$2:$A$6)</f>
        <v>5</v>
      </c>
      <c r="F8" s="7"/>
      <c r="G8" s="9">
        <f>AVERAGE(Inventory!$I$2:$I$51)</f>
        <v>11.4</v>
      </c>
      <c r="H8" s="9"/>
    </row>
    <row r="11" spans="1:8">
      <c r="A11" s="1" t="s">
        <v>10</v>
      </c>
      <c r="B11" s="1" t="s">
        <v>3</v>
      </c>
      <c r="D11" s="1" t="s">
        <v>11</v>
      </c>
      <c r="E11" s="1" t="s">
        <v>12</v>
      </c>
    </row>
    <row r="12" spans="1:8">
      <c r="A12" t="s">
        <v>13</v>
      </c>
      <c r="B12" s="2">
        <f>SUMIF(Inventory!$C$2:$C$51,A12,Inventory!$L$2:$L$51)</f>
        <v>8999.75</v>
      </c>
      <c r="D12" t="s">
        <v>14</v>
      </c>
      <c r="E12">
        <f>COUNTIF(Inventory!$M$2:$M$51,D12)</f>
        <v>12</v>
      </c>
    </row>
    <row r="13" spans="1:8">
      <c r="A13" t="s">
        <v>15</v>
      </c>
      <c r="B13" s="2">
        <f>SUMIF(Inventory!$C$2:$C$51,A13,Inventory!$L$2:$L$51)</f>
        <v>7519.75</v>
      </c>
      <c r="D13" t="s">
        <v>16</v>
      </c>
      <c r="E13">
        <f>COUNTIF(Inventory!$M$2:$M$51,D13)</f>
        <v>11</v>
      </c>
    </row>
    <row r="14" spans="1:8">
      <c r="A14" t="s">
        <v>17</v>
      </c>
      <c r="B14" s="2">
        <f>SUMIF(Inventory!$C$2:$C$51,A14,Inventory!$L$2:$L$51)</f>
        <v>7065.25</v>
      </c>
      <c r="D14" t="s">
        <v>18</v>
      </c>
      <c r="E14">
        <f>COUNTIF(Inventory!$M$2:$M$51,D14)</f>
        <v>27</v>
      </c>
    </row>
    <row r="15" spans="1:8">
      <c r="A15" t="s">
        <v>19</v>
      </c>
      <c r="B15" s="2">
        <f>SUMIF(Inventory!$C$2:$C$51,A15,Inventory!$L$2:$L$51)</f>
        <v>9398.5</v>
      </c>
    </row>
    <row r="16" spans="1:8">
      <c r="A16" t="s">
        <v>20</v>
      </c>
      <c r="B16" s="2">
        <f>SUMIF(Inventory!$C$2:$C$51,A16,Inventory!$L$2:$L$51)</f>
        <v>10496.25</v>
      </c>
    </row>
    <row r="19" spans="1:6">
      <c r="A19" s="1" t="s">
        <v>21</v>
      </c>
      <c r="B19" s="1" t="s">
        <v>12</v>
      </c>
      <c r="C19" s="1" t="s">
        <v>3</v>
      </c>
      <c r="D19" s="1" t="s">
        <v>14</v>
      </c>
      <c r="E19" s="1" t="s">
        <v>16</v>
      </c>
      <c r="F19" s="1" t="s">
        <v>9</v>
      </c>
    </row>
    <row r="20" spans="1:6">
      <c r="A20" t="str">
        <f>Suppliers!A2</f>
        <v>Supplier A</v>
      </c>
      <c r="B20">
        <f>Suppliers!B2</f>
        <v>10</v>
      </c>
      <c r="C20" s="2">
        <f>Suppliers!C2</f>
        <v>8999.75</v>
      </c>
      <c r="D20">
        <f>Suppliers!D2</f>
        <v>1</v>
      </c>
      <c r="E20">
        <f>Suppliers!E2</f>
        <v>3</v>
      </c>
      <c r="F20" s="3">
        <f>Suppliers!F2</f>
        <v>5</v>
      </c>
    </row>
    <row r="21" spans="1:6">
      <c r="A21" t="str">
        <f>Suppliers!A3</f>
        <v>Supplier B</v>
      </c>
      <c r="B21">
        <f>Suppliers!B3</f>
        <v>10</v>
      </c>
      <c r="C21" s="2">
        <f>Suppliers!C3</f>
        <v>7519.75</v>
      </c>
      <c r="D21">
        <f>Suppliers!D3</f>
        <v>1</v>
      </c>
      <c r="E21">
        <f>Suppliers!E3</f>
        <v>3</v>
      </c>
      <c r="F21" s="3">
        <f>Suppliers!F3</f>
        <v>7</v>
      </c>
    </row>
    <row r="22" spans="1:6">
      <c r="A22" t="str">
        <f>Suppliers!A4</f>
        <v>Supplier C</v>
      </c>
      <c r="B22">
        <f>Suppliers!B4</f>
        <v>10</v>
      </c>
      <c r="C22" s="2">
        <f>Suppliers!C4</f>
        <v>7065.25</v>
      </c>
      <c r="D22">
        <f>Suppliers!D4</f>
        <v>3</v>
      </c>
      <c r="E22">
        <f>Suppliers!E4</f>
        <v>2</v>
      </c>
      <c r="F22" s="3">
        <f>Suppliers!F4</f>
        <v>10</v>
      </c>
    </row>
    <row r="23" spans="1:6">
      <c r="A23" t="str">
        <f>Suppliers!A5</f>
        <v>Supplier D</v>
      </c>
      <c r="B23">
        <f>Suppliers!B5</f>
        <v>10</v>
      </c>
      <c r="C23" s="2">
        <f>Suppliers!C5</f>
        <v>9398.5</v>
      </c>
      <c r="D23">
        <f>Suppliers!D5</f>
        <v>3</v>
      </c>
      <c r="E23">
        <f>Suppliers!E5</f>
        <v>1</v>
      </c>
      <c r="F23" s="3">
        <f>Suppliers!F5</f>
        <v>14</v>
      </c>
    </row>
    <row r="24" spans="1:6">
      <c r="A24" t="str">
        <f>Suppliers!A6</f>
        <v>Supplier E</v>
      </c>
      <c r="B24">
        <f>Suppliers!B6</f>
        <v>10</v>
      </c>
      <c r="C24" s="2">
        <f>Suppliers!C6</f>
        <v>10496.25</v>
      </c>
      <c r="D24">
        <f>Suppliers!D6</f>
        <v>4</v>
      </c>
      <c r="E24">
        <f>Suppliers!E6</f>
        <v>2</v>
      </c>
      <c r="F24" s="3">
        <f>Suppliers!F6</f>
        <v>21</v>
      </c>
    </row>
  </sheetData>
  <mergeCells count="18">
    <mergeCell ref="G7:H7"/>
    <mergeCell ref="G8:H8"/>
    <mergeCell ref="A7:B7"/>
    <mergeCell ref="A8:B8"/>
    <mergeCell ref="C7:D7"/>
    <mergeCell ref="C8:D8"/>
    <mergeCell ref="E7:F7"/>
    <mergeCell ref="E8:F8"/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</mergeCells>
  <printOptions horizontalCentered="1"/>
  <pageMargins left="0.25" right="0.25" top="0.35" bottom="0.35" header="0.15" footer="0.15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/>
  </sheetViews>
  <sheetFormatPr defaultRowHeight="13.8"/>
  <cols>
    <col min="1" max="1" width="11" customWidth="1"/>
    <col min="2" max="2" width="22" customWidth="1"/>
    <col min="3" max="4" width="15" customWidth="1"/>
    <col min="5" max="7" width="13" customWidth="1"/>
    <col min="8" max="8" width="12" customWidth="1"/>
    <col min="9" max="10" width="13" customWidth="1"/>
    <col min="11" max="13" width="14" customWidth="1"/>
  </cols>
  <sheetData>
    <row r="1" spans="1:13">
      <c r="A1" s="1" t="s">
        <v>22</v>
      </c>
      <c r="B1" s="1" t="s">
        <v>23</v>
      </c>
      <c r="C1" s="1" t="s">
        <v>10</v>
      </c>
      <c r="D1" s="1" t="s">
        <v>21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11</v>
      </c>
    </row>
    <row r="2" spans="1:13">
      <c r="A2" t="s">
        <v>32</v>
      </c>
      <c r="B2" t="s">
        <v>33</v>
      </c>
      <c r="C2" t="s">
        <v>13</v>
      </c>
      <c r="D2" t="s">
        <v>34</v>
      </c>
      <c r="E2">
        <v>8</v>
      </c>
      <c r="F2">
        <v>20</v>
      </c>
      <c r="G2">
        <v>10</v>
      </c>
      <c r="H2" s="2">
        <v>12.5</v>
      </c>
      <c r="I2">
        <v>5</v>
      </c>
      <c r="J2">
        <v>15</v>
      </c>
      <c r="K2" s="3">
        <f t="shared" ref="K2:K33" si="0">IF(J2=0,0,E2/(J2/30))</f>
        <v>16</v>
      </c>
      <c r="L2" s="2">
        <f t="shared" ref="L2:L33" si="1">E2*H2</f>
        <v>100</v>
      </c>
      <c r="M2" t="str">
        <f t="shared" ref="M2:M33" si="2">IF(E2&lt;=G2,"Critical",IF(E2&lt;=F2,"Reorder","Healthy"))</f>
        <v>Critical</v>
      </c>
    </row>
    <row r="3" spans="1:13">
      <c r="A3" t="s">
        <v>35</v>
      </c>
      <c r="B3" t="s">
        <v>36</v>
      </c>
      <c r="C3" t="s">
        <v>15</v>
      </c>
      <c r="D3" t="s">
        <v>37</v>
      </c>
      <c r="E3">
        <v>21</v>
      </c>
      <c r="F3">
        <v>25</v>
      </c>
      <c r="G3">
        <v>15</v>
      </c>
      <c r="H3" s="2">
        <v>25</v>
      </c>
      <c r="I3">
        <v>7</v>
      </c>
      <c r="J3">
        <v>25</v>
      </c>
      <c r="K3" s="3">
        <f t="shared" si="0"/>
        <v>25.2</v>
      </c>
      <c r="L3" s="2">
        <f t="shared" si="1"/>
        <v>525</v>
      </c>
      <c r="M3" t="str">
        <f t="shared" si="2"/>
        <v>Reorder</v>
      </c>
    </row>
    <row r="4" spans="1:13">
      <c r="A4" t="s">
        <v>38</v>
      </c>
      <c r="B4" t="s">
        <v>39</v>
      </c>
      <c r="C4" t="s">
        <v>17</v>
      </c>
      <c r="D4" t="s">
        <v>40</v>
      </c>
      <c r="E4">
        <v>41</v>
      </c>
      <c r="F4">
        <v>30</v>
      </c>
      <c r="G4">
        <v>20</v>
      </c>
      <c r="H4" s="2">
        <v>7.75</v>
      </c>
      <c r="I4">
        <v>10</v>
      </c>
      <c r="J4">
        <v>40</v>
      </c>
      <c r="K4" s="3">
        <f t="shared" si="0"/>
        <v>30.75</v>
      </c>
      <c r="L4" s="2">
        <f t="shared" si="1"/>
        <v>317.75</v>
      </c>
      <c r="M4" t="str">
        <f t="shared" si="2"/>
        <v>Healthy</v>
      </c>
    </row>
    <row r="5" spans="1:13">
      <c r="A5" t="s">
        <v>41</v>
      </c>
      <c r="B5" t="s">
        <v>42</v>
      </c>
      <c r="C5" t="s">
        <v>19</v>
      </c>
      <c r="D5" t="s">
        <v>43</v>
      </c>
      <c r="E5">
        <v>69</v>
      </c>
      <c r="F5">
        <v>35</v>
      </c>
      <c r="G5">
        <v>25</v>
      </c>
      <c r="H5" s="2">
        <v>45</v>
      </c>
      <c r="I5">
        <v>14</v>
      </c>
      <c r="J5">
        <v>55</v>
      </c>
      <c r="K5" s="3">
        <f t="shared" si="0"/>
        <v>37.63636363636364</v>
      </c>
      <c r="L5" s="2">
        <f t="shared" si="1"/>
        <v>3105</v>
      </c>
      <c r="M5" t="str">
        <f t="shared" si="2"/>
        <v>Healthy</v>
      </c>
    </row>
    <row r="6" spans="1:13">
      <c r="A6" t="s">
        <v>44</v>
      </c>
      <c r="B6" t="s">
        <v>45</v>
      </c>
      <c r="C6" t="s">
        <v>20</v>
      </c>
      <c r="D6" t="s">
        <v>46</v>
      </c>
      <c r="E6">
        <v>120</v>
      </c>
      <c r="F6">
        <v>40</v>
      </c>
      <c r="G6">
        <v>30</v>
      </c>
      <c r="H6" s="2">
        <v>3.5</v>
      </c>
      <c r="I6">
        <v>21</v>
      </c>
      <c r="J6">
        <v>80</v>
      </c>
      <c r="K6" s="3">
        <f t="shared" si="0"/>
        <v>45</v>
      </c>
      <c r="L6" s="2">
        <f t="shared" si="1"/>
        <v>420</v>
      </c>
      <c r="M6" t="str">
        <f t="shared" si="2"/>
        <v>Healthy</v>
      </c>
    </row>
    <row r="7" spans="1:13">
      <c r="A7" t="s">
        <v>47</v>
      </c>
      <c r="B7" t="s">
        <v>48</v>
      </c>
      <c r="C7" t="s">
        <v>13</v>
      </c>
      <c r="D7" t="s">
        <v>34</v>
      </c>
      <c r="E7">
        <v>18</v>
      </c>
      <c r="F7">
        <v>20</v>
      </c>
      <c r="G7">
        <v>10</v>
      </c>
      <c r="H7" s="2">
        <v>18</v>
      </c>
      <c r="I7">
        <v>5</v>
      </c>
      <c r="J7">
        <v>20</v>
      </c>
      <c r="K7" s="3">
        <f t="shared" si="0"/>
        <v>27</v>
      </c>
      <c r="L7" s="2">
        <f t="shared" si="1"/>
        <v>324</v>
      </c>
      <c r="M7" t="str">
        <f t="shared" si="2"/>
        <v>Reorder</v>
      </c>
    </row>
    <row r="8" spans="1:13">
      <c r="A8" t="s">
        <v>49</v>
      </c>
      <c r="B8" t="s">
        <v>50</v>
      </c>
      <c r="C8" t="s">
        <v>15</v>
      </c>
      <c r="D8" t="s">
        <v>37</v>
      </c>
      <c r="E8">
        <v>51</v>
      </c>
      <c r="F8">
        <v>25</v>
      </c>
      <c r="G8">
        <v>15</v>
      </c>
      <c r="H8" s="2">
        <v>12.5</v>
      </c>
      <c r="I8">
        <v>7</v>
      </c>
      <c r="J8">
        <v>15</v>
      </c>
      <c r="K8" s="3">
        <f t="shared" si="0"/>
        <v>102</v>
      </c>
      <c r="L8" s="2">
        <f t="shared" si="1"/>
        <v>637.5</v>
      </c>
      <c r="M8" t="str">
        <f t="shared" si="2"/>
        <v>Healthy</v>
      </c>
    </row>
    <row r="9" spans="1:13">
      <c r="A9" t="s">
        <v>51</v>
      </c>
      <c r="B9" t="s">
        <v>52</v>
      </c>
      <c r="C9" t="s">
        <v>17</v>
      </c>
      <c r="D9" t="s">
        <v>40</v>
      </c>
      <c r="E9">
        <v>17</v>
      </c>
      <c r="F9">
        <v>30</v>
      </c>
      <c r="G9">
        <v>20</v>
      </c>
      <c r="H9" s="2">
        <v>25</v>
      </c>
      <c r="I9">
        <v>10</v>
      </c>
      <c r="J9">
        <v>25</v>
      </c>
      <c r="K9" s="3">
        <f t="shared" si="0"/>
        <v>20.399999999999999</v>
      </c>
      <c r="L9" s="2">
        <f t="shared" si="1"/>
        <v>425</v>
      </c>
      <c r="M9" t="str">
        <f t="shared" si="2"/>
        <v>Critical</v>
      </c>
    </row>
    <row r="10" spans="1:13">
      <c r="A10" t="s">
        <v>53</v>
      </c>
      <c r="B10" t="s">
        <v>54</v>
      </c>
      <c r="C10" t="s">
        <v>19</v>
      </c>
      <c r="D10" t="s">
        <v>43</v>
      </c>
      <c r="E10">
        <v>18</v>
      </c>
      <c r="F10">
        <v>35</v>
      </c>
      <c r="G10">
        <v>25</v>
      </c>
      <c r="H10" s="2">
        <v>7.75</v>
      </c>
      <c r="I10">
        <v>14</v>
      </c>
      <c r="J10">
        <v>40</v>
      </c>
      <c r="K10" s="3">
        <f t="shared" si="0"/>
        <v>13.5</v>
      </c>
      <c r="L10" s="2">
        <f t="shared" si="1"/>
        <v>139.5</v>
      </c>
      <c r="M10" t="str">
        <f t="shared" si="2"/>
        <v>Critical</v>
      </c>
    </row>
    <row r="11" spans="1:13">
      <c r="A11" t="s">
        <v>55</v>
      </c>
      <c r="B11" t="s">
        <v>56</v>
      </c>
      <c r="C11" t="s">
        <v>20</v>
      </c>
      <c r="D11" t="s">
        <v>46</v>
      </c>
      <c r="E11">
        <v>38</v>
      </c>
      <c r="F11">
        <v>40</v>
      </c>
      <c r="G11">
        <v>30</v>
      </c>
      <c r="H11" s="2">
        <v>45</v>
      </c>
      <c r="I11">
        <v>21</v>
      </c>
      <c r="J11">
        <v>55</v>
      </c>
      <c r="K11" s="3">
        <f t="shared" si="0"/>
        <v>20.727272727272727</v>
      </c>
      <c r="L11" s="2">
        <f t="shared" si="1"/>
        <v>1710</v>
      </c>
      <c r="M11" t="str">
        <f t="shared" si="2"/>
        <v>Reorder</v>
      </c>
    </row>
    <row r="12" spans="1:13">
      <c r="A12" t="s">
        <v>57</v>
      </c>
      <c r="B12" t="s">
        <v>58</v>
      </c>
      <c r="C12" t="s">
        <v>13</v>
      </c>
      <c r="D12" t="s">
        <v>34</v>
      </c>
      <c r="E12">
        <v>66</v>
      </c>
      <c r="F12">
        <v>20</v>
      </c>
      <c r="G12">
        <v>10</v>
      </c>
      <c r="H12" s="2">
        <v>3.5</v>
      </c>
      <c r="I12">
        <v>5</v>
      </c>
      <c r="J12">
        <v>80</v>
      </c>
      <c r="K12" s="3">
        <f t="shared" si="0"/>
        <v>24.75</v>
      </c>
      <c r="L12" s="2">
        <f t="shared" si="1"/>
        <v>231</v>
      </c>
      <c r="M12" t="str">
        <f t="shared" si="2"/>
        <v>Healthy</v>
      </c>
    </row>
    <row r="13" spans="1:13">
      <c r="A13" t="s">
        <v>59</v>
      </c>
      <c r="B13" t="s">
        <v>60</v>
      </c>
      <c r="C13" t="s">
        <v>15</v>
      </c>
      <c r="D13" t="s">
        <v>37</v>
      </c>
      <c r="E13">
        <v>129</v>
      </c>
      <c r="F13">
        <v>25</v>
      </c>
      <c r="G13">
        <v>15</v>
      </c>
      <c r="H13" s="2">
        <v>18</v>
      </c>
      <c r="I13">
        <v>7</v>
      </c>
      <c r="J13">
        <v>20</v>
      </c>
      <c r="K13" s="3">
        <f t="shared" si="0"/>
        <v>193.5</v>
      </c>
      <c r="L13" s="2">
        <f t="shared" si="1"/>
        <v>2322</v>
      </c>
      <c r="M13" t="str">
        <f t="shared" si="2"/>
        <v>Healthy</v>
      </c>
    </row>
    <row r="14" spans="1:13">
      <c r="A14" t="s">
        <v>61</v>
      </c>
      <c r="B14" t="s">
        <v>62</v>
      </c>
      <c r="C14" t="s">
        <v>17</v>
      </c>
      <c r="D14" t="s">
        <v>40</v>
      </c>
      <c r="E14">
        <v>15</v>
      </c>
      <c r="F14">
        <v>30</v>
      </c>
      <c r="G14">
        <v>20</v>
      </c>
      <c r="H14" s="2">
        <v>12.5</v>
      </c>
      <c r="I14">
        <v>10</v>
      </c>
      <c r="J14">
        <v>15</v>
      </c>
      <c r="K14" s="3">
        <f t="shared" si="0"/>
        <v>30</v>
      </c>
      <c r="L14" s="2">
        <f t="shared" si="1"/>
        <v>187.5</v>
      </c>
      <c r="M14" t="str">
        <f t="shared" si="2"/>
        <v>Critical</v>
      </c>
    </row>
    <row r="15" spans="1:13">
      <c r="A15" t="s">
        <v>63</v>
      </c>
      <c r="B15" t="s">
        <v>64</v>
      </c>
      <c r="C15" t="s">
        <v>19</v>
      </c>
      <c r="D15" t="s">
        <v>43</v>
      </c>
      <c r="E15">
        <v>48</v>
      </c>
      <c r="F15">
        <v>35</v>
      </c>
      <c r="G15">
        <v>25</v>
      </c>
      <c r="H15" s="2">
        <v>25</v>
      </c>
      <c r="I15">
        <v>14</v>
      </c>
      <c r="J15">
        <v>25</v>
      </c>
      <c r="K15" s="3">
        <f t="shared" si="0"/>
        <v>57.599999999999994</v>
      </c>
      <c r="L15" s="2">
        <f t="shared" si="1"/>
        <v>1200</v>
      </c>
      <c r="M15" t="str">
        <f t="shared" si="2"/>
        <v>Healthy</v>
      </c>
    </row>
    <row r="16" spans="1:13">
      <c r="A16" t="s">
        <v>65</v>
      </c>
      <c r="B16" t="s">
        <v>66</v>
      </c>
      <c r="C16" t="s">
        <v>20</v>
      </c>
      <c r="D16" t="s">
        <v>46</v>
      </c>
      <c r="E16">
        <v>14</v>
      </c>
      <c r="F16">
        <v>40</v>
      </c>
      <c r="G16">
        <v>30</v>
      </c>
      <c r="H16" s="2">
        <v>7.75</v>
      </c>
      <c r="I16">
        <v>21</v>
      </c>
      <c r="J16">
        <v>40</v>
      </c>
      <c r="K16" s="3">
        <f t="shared" si="0"/>
        <v>10.5</v>
      </c>
      <c r="L16" s="2">
        <f t="shared" si="1"/>
        <v>108.5</v>
      </c>
      <c r="M16" t="str">
        <f t="shared" si="2"/>
        <v>Critical</v>
      </c>
    </row>
    <row r="17" spans="1:13">
      <c r="A17" t="s">
        <v>67</v>
      </c>
      <c r="B17" t="s">
        <v>68</v>
      </c>
      <c r="C17" t="s">
        <v>13</v>
      </c>
      <c r="D17" t="s">
        <v>34</v>
      </c>
      <c r="E17">
        <v>27</v>
      </c>
      <c r="F17">
        <v>20</v>
      </c>
      <c r="G17">
        <v>10</v>
      </c>
      <c r="H17" s="2">
        <v>45</v>
      </c>
      <c r="I17">
        <v>5</v>
      </c>
      <c r="J17">
        <v>55</v>
      </c>
      <c r="K17" s="3">
        <f t="shared" si="0"/>
        <v>14.727272727272728</v>
      </c>
      <c r="L17" s="2">
        <f t="shared" si="1"/>
        <v>1215</v>
      </c>
      <c r="M17" t="str">
        <f t="shared" si="2"/>
        <v>Healthy</v>
      </c>
    </row>
    <row r="18" spans="1:13">
      <c r="A18" t="s">
        <v>69</v>
      </c>
      <c r="B18" t="s">
        <v>70</v>
      </c>
      <c r="C18" t="s">
        <v>15</v>
      </c>
      <c r="D18" t="s">
        <v>37</v>
      </c>
      <c r="E18">
        <v>35</v>
      </c>
      <c r="F18">
        <v>25</v>
      </c>
      <c r="G18">
        <v>15</v>
      </c>
      <c r="H18" s="2">
        <v>3.5</v>
      </c>
      <c r="I18">
        <v>7</v>
      </c>
      <c r="J18">
        <v>80</v>
      </c>
      <c r="K18" s="3">
        <f t="shared" si="0"/>
        <v>13.125</v>
      </c>
      <c r="L18" s="2">
        <f t="shared" si="1"/>
        <v>122.5</v>
      </c>
      <c r="M18" t="str">
        <f t="shared" si="2"/>
        <v>Healthy</v>
      </c>
    </row>
    <row r="19" spans="1:13">
      <c r="A19" t="s">
        <v>71</v>
      </c>
      <c r="B19" t="s">
        <v>72</v>
      </c>
      <c r="C19" t="s">
        <v>17</v>
      </c>
      <c r="D19" t="s">
        <v>40</v>
      </c>
      <c r="E19">
        <v>63</v>
      </c>
      <c r="F19">
        <v>30</v>
      </c>
      <c r="G19">
        <v>20</v>
      </c>
      <c r="H19" s="2">
        <v>18</v>
      </c>
      <c r="I19">
        <v>10</v>
      </c>
      <c r="J19">
        <v>20</v>
      </c>
      <c r="K19" s="3">
        <f t="shared" si="0"/>
        <v>94.5</v>
      </c>
      <c r="L19" s="2">
        <f t="shared" si="1"/>
        <v>1134</v>
      </c>
      <c r="M19" t="str">
        <f t="shared" si="2"/>
        <v>Healthy</v>
      </c>
    </row>
    <row r="20" spans="1:13">
      <c r="A20" t="s">
        <v>73</v>
      </c>
      <c r="B20" t="s">
        <v>74</v>
      </c>
      <c r="C20" t="s">
        <v>19</v>
      </c>
      <c r="D20" t="s">
        <v>43</v>
      </c>
      <c r="E20">
        <v>126</v>
      </c>
      <c r="F20">
        <v>35</v>
      </c>
      <c r="G20">
        <v>25</v>
      </c>
      <c r="H20" s="2">
        <v>12.5</v>
      </c>
      <c r="I20">
        <v>14</v>
      </c>
      <c r="J20">
        <v>15</v>
      </c>
      <c r="K20" s="3">
        <f t="shared" si="0"/>
        <v>252</v>
      </c>
      <c r="L20" s="2">
        <f t="shared" si="1"/>
        <v>1575</v>
      </c>
      <c r="M20" t="str">
        <f t="shared" si="2"/>
        <v>Healthy</v>
      </c>
    </row>
    <row r="21" spans="1:13">
      <c r="A21" t="s">
        <v>75</v>
      </c>
      <c r="B21" t="s">
        <v>76</v>
      </c>
      <c r="C21" t="s">
        <v>20</v>
      </c>
      <c r="D21" t="s">
        <v>46</v>
      </c>
      <c r="E21">
        <v>24</v>
      </c>
      <c r="F21">
        <v>40</v>
      </c>
      <c r="G21">
        <v>30</v>
      </c>
      <c r="H21" s="2">
        <v>25</v>
      </c>
      <c r="I21">
        <v>21</v>
      </c>
      <c r="J21">
        <v>25</v>
      </c>
      <c r="K21" s="3">
        <f t="shared" si="0"/>
        <v>28.799999999999997</v>
      </c>
      <c r="L21" s="2">
        <f t="shared" si="1"/>
        <v>600</v>
      </c>
      <c r="M21" t="str">
        <f t="shared" si="2"/>
        <v>Critical</v>
      </c>
    </row>
    <row r="22" spans="1:13">
      <c r="A22" t="s">
        <v>77</v>
      </c>
      <c r="B22" t="s">
        <v>78</v>
      </c>
      <c r="C22" t="s">
        <v>13</v>
      </c>
      <c r="D22" t="s">
        <v>34</v>
      </c>
      <c r="E22">
        <v>45</v>
      </c>
      <c r="F22">
        <v>20</v>
      </c>
      <c r="G22">
        <v>10</v>
      </c>
      <c r="H22" s="2">
        <v>7.75</v>
      </c>
      <c r="I22">
        <v>5</v>
      </c>
      <c r="J22">
        <v>40</v>
      </c>
      <c r="K22" s="3">
        <f t="shared" si="0"/>
        <v>33.75</v>
      </c>
      <c r="L22" s="2">
        <f t="shared" si="1"/>
        <v>348.75</v>
      </c>
      <c r="M22" t="str">
        <f t="shared" si="2"/>
        <v>Healthy</v>
      </c>
    </row>
    <row r="23" spans="1:13">
      <c r="A23" t="s">
        <v>79</v>
      </c>
      <c r="B23" t="s">
        <v>80</v>
      </c>
      <c r="C23" t="s">
        <v>15</v>
      </c>
      <c r="D23" t="s">
        <v>37</v>
      </c>
      <c r="E23">
        <v>11</v>
      </c>
      <c r="F23">
        <v>25</v>
      </c>
      <c r="G23">
        <v>15</v>
      </c>
      <c r="H23" s="2">
        <v>45</v>
      </c>
      <c r="I23">
        <v>7</v>
      </c>
      <c r="J23">
        <v>55</v>
      </c>
      <c r="K23" s="3">
        <f t="shared" si="0"/>
        <v>6</v>
      </c>
      <c r="L23" s="2">
        <f t="shared" si="1"/>
        <v>495</v>
      </c>
      <c r="M23" t="str">
        <f t="shared" si="2"/>
        <v>Critical</v>
      </c>
    </row>
    <row r="24" spans="1:13">
      <c r="A24" t="s">
        <v>81</v>
      </c>
      <c r="B24" t="s">
        <v>82</v>
      </c>
      <c r="C24" t="s">
        <v>17</v>
      </c>
      <c r="D24" t="s">
        <v>40</v>
      </c>
      <c r="E24">
        <v>24</v>
      </c>
      <c r="F24">
        <v>30</v>
      </c>
      <c r="G24">
        <v>20</v>
      </c>
      <c r="H24" s="2">
        <v>3.5</v>
      </c>
      <c r="I24">
        <v>10</v>
      </c>
      <c r="J24">
        <v>80</v>
      </c>
      <c r="K24" s="3">
        <f t="shared" si="0"/>
        <v>9</v>
      </c>
      <c r="L24" s="2">
        <f t="shared" si="1"/>
        <v>84</v>
      </c>
      <c r="M24" t="str">
        <f t="shared" si="2"/>
        <v>Reorder</v>
      </c>
    </row>
    <row r="25" spans="1:13">
      <c r="A25" t="s">
        <v>83</v>
      </c>
      <c r="B25" t="s">
        <v>84</v>
      </c>
      <c r="C25" t="s">
        <v>19</v>
      </c>
      <c r="D25" t="s">
        <v>43</v>
      </c>
      <c r="E25">
        <v>44</v>
      </c>
      <c r="F25">
        <v>35</v>
      </c>
      <c r="G25">
        <v>25</v>
      </c>
      <c r="H25" s="2">
        <v>18</v>
      </c>
      <c r="I25">
        <v>14</v>
      </c>
      <c r="J25">
        <v>20</v>
      </c>
      <c r="K25" s="3">
        <f t="shared" si="0"/>
        <v>66</v>
      </c>
      <c r="L25" s="2">
        <f t="shared" si="1"/>
        <v>792</v>
      </c>
      <c r="M25" t="str">
        <f t="shared" si="2"/>
        <v>Healthy</v>
      </c>
    </row>
    <row r="26" spans="1:13">
      <c r="A26" t="s">
        <v>85</v>
      </c>
      <c r="B26" t="s">
        <v>86</v>
      </c>
      <c r="C26" t="s">
        <v>20</v>
      </c>
      <c r="D26" t="s">
        <v>46</v>
      </c>
      <c r="E26">
        <v>60</v>
      </c>
      <c r="F26">
        <v>40</v>
      </c>
      <c r="G26">
        <v>30</v>
      </c>
      <c r="H26" s="2">
        <v>12.5</v>
      </c>
      <c r="I26">
        <v>21</v>
      </c>
      <c r="J26">
        <v>15</v>
      </c>
      <c r="K26" s="3">
        <f t="shared" si="0"/>
        <v>120</v>
      </c>
      <c r="L26" s="2">
        <f t="shared" si="1"/>
        <v>750</v>
      </c>
      <c r="M26" t="str">
        <f t="shared" si="2"/>
        <v>Healthy</v>
      </c>
    </row>
    <row r="27" spans="1:13">
      <c r="A27" t="s">
        <v>87</v>
      </c>
      <c r="B27" t="s">
        <v>88</v>
      </c>
      <c r="C27" t="s">
        <v>13</v>
      </c>
      <c r="D27" t="s">
        <v>34</v>
      </c>
      <c r="E27">
        <v>123</v>
      </c>
      <c r="F27">
        <v>20</v>
      </c>
      <c r="G27">
        <v>10</v>
      </c>
      <c r="H27" s="2">
        <v>25</v>
      </c>
      <c r="I27">
        <v>5</v>
      </c>
      <c r="J27">
        <v>25</v>
      </c>
      <c r="K27" s="3">
        <f t="shared" si="0"/>
        <v>147.6</v>
      </c>
      <c r="L27" s="2">
        <f t="shared" si="1"/>
        <v>3075</v>
      </c>
      <c r="M27" t="str">
        <f t="shared" si="2"/>
        <v>Healthy</v>
      </c>
    </row>
    <row r="28" spans="1:13">
      <c r="A28" t="s">
        <v>89</v>
      </c>
      <c r="B28" t="s">
        <v>90</v>
      </c>
      <c r="C28" t="s">
        <v>15</v>
      </c>
      <c r="D28" t="s">
        <v>37</v>
      </c>
      <c r="E28">
        <v>21</v>
      </c>
      <c r="F28">
        <v>25</v>
      </c>
      <c r="G28">
        <v>15</v>
      </c>
      <c r="H28" s="2">
        <v>7.75</v>
      </c>
      <c r="I28">
        <v>7</v>
      </c>
      <c r="J28">
        <v>40</v>
      </c>
      <c r="K28" s="3">
        <f t="shared" si="0"/>
        <v>15.75</v>
      </c>
      <c r="L28" s="2">
        <f t="shared" si="1"/>
        <v>162.75</v>
      </c>
      <c r="M28" t="str">
        <f t="shared" si="2"/>
        <v>Reorder</v>
      </c>
    </row>
    <row r="29" spans="1:13">
      <c r="A29" t="s">
        <v>91</v>
      </c>
      <c r="B29" t="s">
        <v>92</v>
      </c>
      <c r="C29" t="s">
        <v>17</v>
      </c>
      <c r="D29" t="s">
        <v>40</v>
      </c>
      <c r="E29">
        <v>54</v>
      </c>
      <c r="F29">
        <v>30</v>
      </c>
      <c r="G29">
        <v>20</v>
      </c>
      <c r="H29" s="2">
        <v>45</v>
      </c>
      <c r="I29">
        <v>10</v>
      </c>
      <c r="J29">
        <v>55</v>
      </c>
      <c r="K29" s="3">
        <f t="shared" si="0"/>
        <v>29.454545454545457</v>
      </c>
      <c r="L29" s="2">
        <f t="shared" si="1"/>
        <v>2430</v>
      </c>
      <c r="M29" t="str">
        <f t="shared" si="2"/>
        <v>Healthy</v>
      </c>
    </row>
    <row r="30" spans="1:13">
      <c r="A30" t="s">
        <v>93</v>
      </c>
      <c r="B30" t="s">
        <v>94</v>
      </c>
      <c r="C30" t="s">
        <v>19</v>
      </c>
      <c r="D30" t="s">
        <v>43</v>
      </c>
      <c r="E30">
        <v>8</v>
      </c>
      <c r="F30">
        <v>35</v>
      </c>
      <c r="G30">
        <v>25</v>
      </c>
      <c r="H30" s="2">
        <v>3.5</v>
      </c>
      <c r="I30">
        <v>14</v>
      </c>
      <c r="J30">
        <v>80</v>
      </c>
      <c r="K30" s="3">
        <f t="shared" si="0"/>
        <v>3</v>
      </c>
      <c r="L30" s="2">
        <f t="shared" si="1"/>
        <v>28</v>
      </c>
      <c r="M30" t="str">
        <f t="shared" si="2"/>
        <v>Critical</v>
      </c>
    </row>
    <row r="31" spans="1:13">
      <c r="A31" t="s">
        <v>95</v>
      </c>
      <c r="B31" t="s">
        <v>96</v>
      </c>
      <c r="C31" t="s">
        <v>20</v>
      </c>
      <c r="D31" t="s">
        <v>46</v>
      </c>
      <c r="E31">
        <v>21</v>
      </c>
      <c r="F31">
        <v>40</v>
      </c>
      <c r="G31">
        <v>30</v>
      </c>
      <c r="H31" s="2">
        <v>18</v>
      </c>
      <c r="I31">
        <v>21</v>
      </c>
      <c r="J31">
        <v>20</v>
      </c>
      <c r="K31" s="3">
        <f t="shared" si="0"/>
        <v>31.5</v>
      </c>
      <c r="L31" s="2">
        <f t="shared" si="1"/>
        <v>378</v>
      </c>
      <c r="M31" t="str">
        <f t="shared" si="2"/>
        <v>Critical</v>
      </c>
    </row>
    <row r="32" spans="1:13">
      <c r="A32" t="s">
        <v>97</v>
      </c>
      <c r="B32" t="s">
        <v>98</v>
      </c>
      <c r="C32" t="s">
        <v>13</v>
      </c>
      <c r="D32" t="s">
        <v>34</v>
      </c>
      <c r="E32">
        <v>41</v>
      </c>
      <c r="F32">
        <v>20</v>
      </c>
      <c r="G32">
        <v>10</v>
      </c>
      <c r="H32" s="2">
        <v>12.5</v>
      </c>
      <c r="I32">
        <v>5</v>
      </c>
      <c r="J32">
        <v>15</v>
      </c>
      <c r="K32" s="3">
        <f t="shared" si="0"/>
        <v>82</v>
      </c>
      <c r="L32" s="2">
        <f t="shared" si="1"/>
        <v>512.5</v>
      </c>
      <c r="M32" t="str">
        <f t="shared" si="2"/>
        <v>Healthy</v>
      </c>
    </row>
    <row r="33" spans="1:13">
      <c r="A33" t="s">
        <v>99</v>
      </c>
      <c r="B33" t="s">
        <v>100</v>
      </c>
      <c r="C33" t="s">
        <v>15</v>
      </c>
      <c r="D33" t="s">
        <v>37</v>
      </c>
      <c r="E33">
        <v>69</v>
      </c>
      <c r="F33">
        <v>25</v>
      </c>
      <c r="G33">
        <v>15</v>
      </c>
      <c r="H33" s="2">
        <v>25</v>
      </c>
      <c r="I33">
        <v>7</v>
      </c>
      <c r="J33">
        <v>25</v>
      </c>
      <c r="K33" s="3">
        <f t="shared" si="0"/>
        <v>82.8</v>
      </c>
      <c r="L33" s="2">
        <f t="shared" si="1"/>
        <v>1725</v>
      </c>
      <c r="M33" t="str">
        <f t="shared" si="2"/>
        <v>Healthy</v>
      </c>
    </row>
    <row r="34" spans="1:13">
      <c r="A34" t="s">
        <v>101</v>
      </c>
      <c r="B34" t="s">
        <v>102</v>
      </c>
      <c r="C34" t="s">
        <v>17</v>
      </c>
      <c r="D34" t="s">
        <v>40</v>
      </c>
      <c r="E34">
        <v>120</v>
      </c>
      <c r="F34">
        <v>30</v>
      </c>
      <c r="G34">
        <v>20</v>
      </c>
      <c r="H34" s="2">
        <v>7.75</v>
      </c>
      <c r="I34">
        <v>10</v>
      </c>
      <c r="J34">
        <v>40</v>
      </c>
      <c r="K34" s="3">
        <f t="shared" ref="K34:K65" si="3">IF(J34=0,0,E34/(J34/30))</f>
        <v>90</v>
      </c>
      <c r="L34" s="2">
        <f t="shared" ref="L34:L51" si="4">E34*H34</f>
        <v>930</v>
      </c>
      <c r="M34" t="str">
        <f t="shared" ref="M34:M51" si="5">IF(E34&lt;=G34,"Critical",IF(E34&lt;=F34,"Reorder","Healthy"))</f>
        <v>Healthy</v>
      </c>
    </row>
    <row r="35" spans="1:13">
      <c r="A35" t="s">
        <v>103</v>
      </c>
      <c r="B35" t="s">
        <v>104</v>
      </c>
      <c r="C35" t="s">
        <v>19</v>
      </c>
      <c r="D35" t="s">
        <v>43</v>
      </c>
      <c r="E35">
        <v>18</v>
      </c>
      <c r="F35">
        <v>35</v>
      </c>
      <c r="G35">
        <v>25</v>
      </c>
      <c r="H35" s="2">
        <v>45</v>
      </c>
      <c r="I35">
        <v>14</v>
      </c>
      <c r="J35">
        <v>55</v>
      </c>
      <c r="K35" s="3">
        <f t="shared" si="3"/>
        <v>9.8181818181818183</v>
      </c>
      <c r="L35" s="2">
        <f t="shared" si="4"/>
        <v>810</v>
      </c>
      <c r="M35" t="str">
        <f t="shared" si="5"/>
        <v>Critical</v>
      </c>
    </row>
    <row r="36" spans="1:13">
      <c r="A36" t="s">
        <v>105</v>
      </c>
      <c r="B36" t="s">
        <v>106</v>
      </c>
      <c r="C36" t="s">
        <v>20</v>
      </c>
      <c r="D36" t="s">
        <v>46</v>
      </c>
      <c r="E36">
        <v>51</v>
      </c>
      <c r="F36">
        <v>40</v>
      </c>
      <c r="G36">
        <v>30</v>
      </c>
      <c r="H36" s="2">
        <v>3.5</v>
      </c>
      <c r="I36">
        <v>21</v>
      </c>
      <c r="J36">
        <v>80</v>
      </c>
      <c r="K36" s="3">
        <f t="shared" si="3"/>
        <v>19.125</v>
      </c>
      <c r="L36" s="2">
        <f t="shared" si="4"/>
        <v>178.5</v>
      </c>
      <c r="M36" t="str">
        <f t="shared" si="5"/>
        <v>Healthy</v>
      </c>
    </row>
    <row r="37" spans="1:13">
      <c r="A37" t="s">
        <v>107</v>
      </c>
      <c r="B37" t="s">
        <v>108</v>
      </c>
      <c r="C37" t="s">
        <v>13</v>
      </c>
      <c r="D37" t="s">
        <v>34</v>
      </c>
      <c r="E37">
        <v>17</v>
      </c>
      <c r="F37">
        <v>20</v>
      </c>
      <c r="G37">
        <v>10</v>
      </c>
      <c r="H37" s="2">
        <v>18</v>
      </c>
      <c r="I37">
        <v>5</v>
      </c>
      <c r="J37">
        <v>20</v>
      </c>
      <c r="K37" s="3">
        <f t="shared" si="3"/>
        <v>25.5</v>
      </c>
      <c r="L37" s="2">
        <f t="shared" si="4"/>
        <v>306</v>
      </c>
      <c r="M37" t="str">
        <f t="shared" si="5"/>
        <v>Reorder</v>
      </c>
    </row>
    <row r="38" spans="1:13">
      <c r="A38" t="s">
        <v>109</v>
      </c>
      <c r="B38" t="s">
        <v>110</v>
      </c>
      <c r="C38" t="s">
        <v>15</v>
      </c>
      <c r="D38" t="s">
        <v>37</v>
      </c>
      <c r="E38">
        <v>18</v>
      </c>
      <c r="F38">
        <v>25</v>
      </c>
      <c r="G38">
        <v>15</v>
      </c>
      <c r="H38" s="2">
        <v>12.5</v>
      </c>
      <c r="I38">
        <v>7</v>
      </c>
      <c r="J38">
        <v>15</v>
      </c>
      <c r="K38" s="3">
        <f t="shared" si="3"/>
        <v>36</v>
      </c>
      <c r="L38" s="2">
        <f t="shared" si="4"/>
        <v>225</v>
      </c>
      <c r="M38" t="str">
        <f t="shared" si="5"/>
        <v>Reorder</v>
      </c>
    </row>
    <row r="39" spans="1:13">
      <c r="A39" t="s">
        <v>111</v>
      </c>
      <c r="B39" t="s">
        <v>112</v>
      </c>
      <c r="C39" t="s">
        <v>17</v>
      </c>
      <c r="D39" t="s">
        <v>40</v>
      </c>
      <c r="E39">
        <v>38</v>
      </c>
      <c r="F39">
        <v>30</v>
      </c>
      <c r="G39">
        <v>20</v>
      </c>
      <c r="H39" s="2">
        <v>25</v>
      </c>
      <c r="I39">
        <v>10</v>
      </c>
      <c r="J39">
        <v>25</v>
      </c>
      <c r="K39" s="3">
        <f t="shared" si="3"/>
        <v>45.6</v>
      </c>
      <c r="L39" s="2">
        <f t="shared" si="4"/>
        <v>950</v>
      </c>
      <c r="M39" t="str">
        <f t="shared" si="5"/>
        <v>Healthy</v>
      </c>
    </row>
    <row r="40" spans="1:13">
      <c r="A40" t="s">
        <v>113</v>
      </c>
      <c r="B40" t="s">
        <v>114</v>
      </c>
      <c r="C40" t="s">
        <v>19</v>
      </c>
      <c r="D40" t="s">
        <v>43</v>
      </c>
      <c r="E40">
        <v>66</v>
      </c>
      <c r="F40">
        <v>35</v>
      </c>
      <c r="G40">
        <v>25</v>
      </c>
      <c r="H40" s="2">
        <v>7.75</v>
      </c>
      <c r="I40">
        <v>14</v>
      </c>
      <c r="J40">
        <v>40</v>
      </c>
      <c r="K40" s="3">
        <f t="shared" si="3"/>
        <v>49.5</v>
      </c>
      <c r="L40" s="2">
        <f t="shared" si="4"/>
        <v>511.5</v>
      </c>
      <c r="M40" t="str">
        <f t="shared" si="5"/>
        <v>Healthy</v>
      </c>
    </row>
    <row r="41" spans="1:13">
      <c r="A41" t="s">
        <v>115</v>
      </c>
      <c r="B41" t="s">
        <v>116</v>
      </c>
      <c r="C41" t="s">
        <v>20</v>
      </c>
      <c r="D41" t="s">
        <v>46</v>
      </c>
      <c r="E41">
        <v>129</v>
      </c>
      <c r="F41">
        <v>40</v>
      </c>
      <c r="G41">
        <v>30</v>
      </c>
      <c r="H41" s="2">
        <v>45</v>
      </c>
      <c r="I41">
        <v>21</v>
      </c>
      <c r="J41">
        <v>55</v>
      </c>
      <c r="K41" s="3">
        <f t="shared" si="3"/>
        <v>70.36363636363636</v>
      </c>
      <c r="L41" s="2">
        <f t="shared" si="4"/>
        <v>5805</v>
      </c>
      <c r="M41" t="str">
        <f t="shared" si="5"/>
        <v>Healthy</v>
      </c>
    </row>
    <row r="42" spans="1:13">
      <c r="A42" t="s">
        <v>117</v>
      </c>
      <c r="B42" t="s">
        <v>118</v>
      </c>
      <c r="C42" t="s">
        <v>13</v>
      </c>
      <c r="D42" t="s">
        <v>34</v>
      </c>
      <c r="E42">
        <v>15</v>
      </c>
      <c r="F42">
        <v>20</v>
      </c>
      <c r="G42">
        <v>10</v>
      </c>
      <c r="H42" s="2">
        <v>3.5</v>
      </c>
      <c r="I42">
        <v>5</v>
      </c>
      <c r="J42">
        <v>80</v>
      </c>
      <c r="K42" s="3">
        <f t="shared" si="3"/>
        <v>5.625</v>
      </c>
      <c r="L42" s="2">
        <f t="shared" si="4"/>
        <v>52.5</v>
      </c>
      <c r="M42" t="str">
        <f t="shared" si="5"/>
        <v>Reorder</v>
      </c>
    </row>
    <row r="43" spans="1:13">
      <c r="A43" t="s">
        <v>119</v>
      </c>
      <c r="B43" t="s">
        <v>120</v>
      </c>
      <c r="C43" t="s">
        <v>15</v>
      </c>
      <c r="D43" t="s">
        <v>37</v>
      </c>
      <c r="E43">
        <v>48</v>
      </c>
      <c r="F43">
        <v>25</v>
      </c>
      <c r="G43">
        <v>15</v>
      </c>
      <c r="H43" s="2">
        <v>18</v>
      </c>
      <c r="I43">
        <v>7</v>
      </c>
      <c r="J43">
        <v>20</v>
      </c>
      <c r="K43" s="3">
        <f t="shared" si="3"/>
        <v>72</v>
      </c>
      <c r="L43" s="2">
        <f t="shared" si="4"/>
        <v>864</v>
      </c>
      <c r="M43" t="str">
        <f t="shared" si="5"/>
        <v>Healthy</v>
      </c>
    </row>
    <row r="44" spans="1:13">
      <c r="A44" t="s">
        <v>121</v>
      </c>
      <c r="B44" t="s">
        <v>122</v>
      </c>
      <c r="C44" t="s">
        <v>17</v>
      </c>
      <c r="D44" t="s">
        <v>40</v>
      </c>
      <c r="E44">
        <v>14</v>
      </c>
      <c r="F44">
        <v>30</v>
      </c>
      <c r="G44">
        <v>20</v>
      </c>
      <c r="H44" s="2">
        <v>12.5</v>
      </c>
      <c r="I44">
        <v>10</v>
      </c>
      <c r="J44">
        <v>15</v>
      </c>
      <c r="K44" s="3">
        <f t="shared" si="3"/>
        <v>28</v>
      </c>
      <c r="L44" s="2">
        <f t="shared" si="4"/>
        <v>175</v>
      </c>
      <c r="M44" t="str">
        <f t="shared" si="5"/>
        <v>Critical</v>
      </c>
    </row>
    <row r="45" spans="1:13">
      <c r="A45" t="s">
        <v>123</v>
      </c>
      <c r="B45" t="s">
        <v>124</v>
      </c>
      <c r="C45" t="s">
        <v>19</v>
      </c>
      <c r="D45" t="s">
        <v>43</v>
      </c>
      <c r="E45">
        <v>27</v>
      </c>
      <c r="F45">
        <v>35</v>
      </c>
      <c r="G45">
        <v>25</v>
      </c>
      <c r="H45" s="2">
        <v>25</v>
      </c>
      <c r="I45">
        <v>14</v>
      </c>
      <c r="J45">
        <v>25</v>
      </c>
      <c r="K45" s="3">
        <f t="shared" si="3"/>
        <v>32.4</v>
      </c>
      <c r="L45" s="2">
        <f t="shared" si="4"/>
        <v>675</v>
      </c>
      <c r="M45" t="str">
        <f t="shared" si="5"/>
        <v>Reorder</v>
      </c>
    </row>
    <row r="46" spans="1:13">
      <c r="A46" t="s">
        <v>125</v>
      </c>
      <c r="B46" t="s">
        <v>126</v>
      </c>
      <c r="C46" t="s">
        <v>20</v>
      </c>
      <c r="D46" t="s">
        <v>46</v>
      </c>
      <c r="E46">
        <v>35</v>
      </c>
      <c r="F46">
        <v>40</v>
      </c>
      <c r="G46">
        <v>30</v>
      </c>
      <c r="H46" s="2">
        <v>7.75</v>
      </c>
      <c r="I46">
        <v>21</v>
      </c>
      <c r="J46">
        <v>40</v>
      </c>
      <c r="K46" s="3">
        <f t="shared" si="3"/>
        <v>26.25</v>
      </c>
      <c r="L46" s="2">
        <f t="shared" si="4"/>
        <v>271.25</v>
      </c>
      <c r="M46" t="str">
        <f t="shared" si="5"/>
        <v>Reorder</v>
      </c>
    </row>
    <row r="47" spans="1:13">
      <c r="A47" t="s">
        <v>127</v>
      </c>
      <c r="B47" t="s">
        <v>128</v>
      </c>
      <c r="C47" t="s">
        <v>13</v>
      </c>
      <c r="D47" t="s">
        <v>34</v>
      </c>
      <c r="E47">
        <v>63</v>
      </c>
      <c r="F47">
        <v>20</v>
      </c>
      <c r="G47">
        <v>10</v>
      </c>
      <c r="H47" s="2">
        <v>45</v>
      </c>
      <c r="I47">
        <v>5</v>
      </c>
      <c r="J47">
        <v>55</v>
      </c>
      <c r="K47" s="3">
        <f t="shared" si="3"/>
        <v>34.363636363636367</v>
      </c>
      <c r="L47" s="2">
        <f t="shared" si="4"/>
        <v>2835</v>
      </c>
      <c r="M47" t="str">
        <f t="shared" si="5"/>
        <v>Healthy</v>
      </c>
    </row>
    <row r="48" spans="1:13">
      <c r="A48" t="s">
        <v>129</v>
      </c>
      <c r="B48" t="s">
        <v>130</v>
      </c>
      <c r="C48" t="s">
        <v>15</v>
      </c>
      <c r="D48" t="s">
        <v>37</v>
      </c>
      <c r="E48">
        <v>126</v>
      </c>
      <c r="F48">
        <v>25</v>
      </c>
      <c r="G48">
        <v>15</v>
      </c>
      <c r="H48" s="2">
        <v>3.5</v>
      </c>
      <c r="I48">
        <v>7</v>
      </c>
      <c r="J48">
        <v>80</v>
      </c>
      <c r="K48" s="3">
        <f t="shared" si="3"/>
        <v>47.25</v>
      </c>
      <c r="L48" s="2">
        <f t="shared" si="4"/>
        <v>441</v>
      </c>
      <c r="M48" t="str">
        <f t="shared" si="5"/>
        <v>Healthy</v>
      </c>
    </row>
    <row r="49" spans="1:13">
      <c r="A49" t="s">
        <v>131</v>
      </c>
      <c r="B49" t="s">
        <v>132</v>
      </c>
      <c r="C49" t="s">
        <v>17</v>
      </c>
      <c r="D49" t="s">
        <v>40</v>
      </c>
      <c r="E49">
        <v>24</v>
      </c>
      <c r="F49">
        <v>30</v>
      </c>
      <c r="G49">
        <v>20</v>
      </c>
      <c r="H49" s="2">
        <v>18</v>
      </c>
      <c r="I49">
        <v>10</v>
      </c>
      <c r="J49">
        <v>20</v>
      </c>
      <c r="K49" s="3">
        <f t="shared" si="3"/>
        <v>36</v>
      </c>
      <c r="L49" s="2">
        <f t="shared" si="4"/>
        <v>432</v>
      </c>
      <c r="M49" t="str">
        <f t="shared" si="5"/>
        <v>Reorder</v>
      </c>
    </row>
    <row r="50" spans="1:13">
      <c r="A50" t="s">
        <v>133</v>
      </c>
      <c r="B50" t="s">
        <v>134</v>
      </c>
      <c r="C50" t="s">
        <v>19</v>
      </c>
      <c r="D50" t="s">
        <v>43</v>
      </c>
      <c r="E50">
        <v>45</v>
      </c>
      <c r="F50">
        <v>35</v>
      </c>
      <c r="G50">
        <v>25</v>
      </c>
      <c r="H50" s="2">
        <v>12.5</v>
      </c>
      <c r="I50">
        <v>14</v>
      </c>
      <c r="J50">
        <v>15</v>
      </c>
      <c r="K50" s="3">
        <f t="shared" si="3"/>
        <v>90</v>
      </c>
      <c r="L50" s="2">
        <f t="shared" si="4"/>
        <v>562.5</v>
      </c>
      <c r="M50" t="str">
        <f t="shared" si="5"/>
        <v>Healthy</v>
      </c>
    </row>
    <row r="51" spans="1:13">
      <c r="A51" t="s">
        <v>135</v>
      </c>
      <c r="B51" t="s">
        <v>136</v>
      </c>
      <c r="C51" t="s">
        <v>20</v>
      </c>
      <c r="D51" t="s">
        <v>46</v>
      </c>
      <c r="E51">
        <v>11</v>
      </c>
      <c r="F51">
        <v>40</v>
      </c>
      <c r="G51">
        <v>30</v>
      </c>
      <c r="H51" s="2">
        <v>25</v>
      </c>
      <c r="I51">
        <v>21</v>
      </c>
      <c r="J51">
        <v>25</v>
      </c>
      <c r="K51" s="3">
        <f t="shared" si="3"/>
        <v>13.2</v>
      </c>
      <c r="L51" s="2">
        <f t="shared" si="4"/>
        <v>275</v>
      </c>
      <c r="M51" t="str">
        <f t="shared" si="5"/>
        <v>Critical</v>
      </c>
    </row>
  </sheetData>
  <conditionalFormatting sqref="M2:M51">
    <cfRule type="expression" dxfId="2" priority="1">
      <formula>M2="Critical"</formula>
    </cfRule>
    <cfRule type="expression" dxfId="1" priority="2">
      <formula>M2="Reorder"</formula>
    </cfRule>
    <cfRule type="expression" dxfId="0" priority="3">
      <formula>M2="Healthy"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Lists!$A$2:$A$6</xm:f>
          </x14:formula1>
          <xm:sqref>C2:C100</xm:sqref>
        </x14:dataValidation>
        <x14:dataValidation type="list" xr:uid="{00000000-0002-0000-0100-000001000000}">
          <x14:formula1>
            <xm:f>Lists!$B$2:$B$6</xm:f>
          </x14:formula1>
          <xm:sqref>D2:D100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3.8"/>
  <cols>
    <col min="1" max="1" width="16" customWidth="1"/>
    <col min="2" max="6" width="15" customWidth="1"/>
  </cols>
  <sheetData>
    <row r="1" spans="1:6">
      <c r="A1" s="1" t="s">
        <v>21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9</v>
      </c>
    </row>
    <row r="2" spans="1:6">
      <c r="A2" t="s">
        <v>34</v>
      </c>
      <c r="B2">
        <f>COUNTIF(Inventory!$D$2:$D$51,A2)</f>
        <v>10</v>
      </c>
      <c r="C2" s="2">
        <f>SUMIF(Inventory!$D$2:$D$51,A2,Inventory!$L$2:$L$51)</f>
        <v>8999.75</v>
      </c>
      <c r="D2">
        <f>COUNTIFS(Inventory!$D$2:$D$51,A2,Inventory!$M$2:$M$51,"Critical")</f>
        <v>1</v>
      </c>
      <c r="E2">
        <f>COUNTIFS(Inventory!$D$2:$D$51,A2,Inventory!$M$2:$M$51,"Reorder")</f>
        <v>3</v>
      </c>
      <c r="F2" s="3">
        <f>AVERAGEIF(Inventory!$D$2:$D$51,A2,Inventory!$I$2:$I$51)</f>
        <v>5</v>
      </c>
    </row>
    <row r="3" spans="1:6">
      <c r="A3" t="s">
        <v>37</v>
      </c>
      <c r="B3">
        <f>COUNTIF(Inventory!$D$2:$D$51,A3)</f>
        <v>10</v>
      </c>
      <c r="C3" s="2">
        <f>SUMIF(Inventory!$D$2:$D$51,A3,Inventory!$L$2:$L$51)</f>
        <v>7519.75</v>
      </c>
      <c r="D3">
        <f>COUNTIFS(Inventory!$D$2:$D$51,A3,Inventory!$M$2:$M$51,"Critical")</f>
        <v>1</v>
      </c>
      <c r="E3">
        <f>COUNTIFS(Inventory!$D$2:$D$51,A3,Inventory!$M$2:$M$51,"Reorder")</f>
        <v>3</v>
      </c>
      <c r="F3" s="3">
        <f>AVERAGEIF(Inventory!$D$2:$D$51,A3,Inventory!$I$2:$I$51)</f>
        <v>7</v>
      </c>
    </row>
    <row r="4" spans="1:6">
      <c r="A4" t="s">
        <v>40</v>
      </c>
      <c r="B4">
        <f>COUNTIF(Inventory!$D$2:$D$51,A4)</f>
        <v>10</v>
      </c>
      <c r="C4" s="2">
        <f>SUMIF(Inventory!$D$2:$D$51,A4,Inventory!$L$2:$L$51)</f>
        <v>7065.25</v>
      </c>
      <c r="D4">
        <f>COUNTIFS(Inventory!$D$2:$D$51,A4,Inventory!$M$2:$M$51,"Critical")</f>
        <v>3</v>
      </c>
      <c r="E4">
        <f>COUNTIFS(Inventory!$D$2:$D$51,A4,Inventory!$M$2:$M$51,"Reorder")</f>
        <v>2</v>
      </c>
      <c r="F4" s="3">
        <f>AVERAGEIF(Inventory!$D$2:$D$51,A4,Inventory!$I$2:$I$51)</f>
        <v>10</v>
      </c>
    </row>
    <row r="5" spans="1:6">
      <c r="A5" t="s">
        <v>43</v>
      </c>
      <c r="B5">
        <f>COUNTIF(Inventory!$D$2:$D$51,A5)</f>
        <v>10</v>
      </c>
      <c r="C5" s="2">
        <f>SUMIF(Inventory!$D$2:$D$51,A5,Inventory!$L$2:$L$51)</f>
        <v>9398.5</v>
      </c>
      <c r="D5">
        <f>COUNTIFS(Inventory!$D$2:$D$51,A5,Inventory!$M$2:$M$51,"Critical")</f>
        <v>3</v>
      </c>
      <c r="E5">
        <f>COUNTIFS(Inventory!$D$2:$D$51,A5,Inventory!$M$2:$M$51,"Reorder")</f>
        <v>1</v>
      </c>
      <c r="F5" s="3">
        <f>AVERAGEIF(Inventory!$D$2:$D$51,A5,Inventory!$I$2:$I$51)</f>
        <v>14</v>
      </c>
    </row>
    <row r="6" spans="1:6">
      <c r="A6" t="s">
        <v>46</v>
      </c>
      <c r="B6">
        <f>COUNTIF(Inventory!$D$2:$D$51,A6)</f>
        <v>10</v>
      </c>
      <c r="C6" s="2">
        <f>SUMIF(Inventory!$D$2:$D$51,A6,Inventory!$L$2:$L$51)</f>
        <v>10496.25</v>
      </c>
      <c r="D6">
        <f>COUNTIFS(Inventory!$D$2:$D$51,A6,Inventory!$M$2:$M$51,"Critical")</f>
        <v>4</v>
      </c>
      <c r="E6">
        <f>COUNTIFS(Inventory!$D$2:$D$51,A6,Inventory!$M$2:$M$51,"Reorder")</f>
        <v>2</v>
      </c>
      <c r="F6" s="3">
        <f>AVERAGEIF(Inventory!$D$2:$D$51,A6,Inventory!$I$2:$I$51)</f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3.8"/>
  <sheetData>
    <row r="1" spans="1:3">
      <c r="A1" s="1" t="s">
        <v>10</v>
      </c>
      <c r="B1" s="1" t="s">
        <v>21</v>
      </c>
      <c r="C1" s="1" t="s">
        <v>11</v>
      </c>
    </row>
    <row r="2" spans="1:3">
      <c r="A2" t="s">
        <v>13</v>
      </c>
      <c r="B2" t="s">
        <v>34</v>
      </c>
      <c r="C2" t="s">
        <v>14</v>
      </c>
    </row>
    <row r="3" spans="1:3">
      <c r="A3" t="s">
        <v>15</v>
      </c>
      <c r="B3" t="s">
        <v>37</v>
      </c>
      <c r="C3" t="s">
        <v>16</v>
      </c>
    </row>
    <row r="4" spans="1:3">
      <c r="A4" t="s">
        <v>17</v>
      </c>
      <c r="B4" t="s">
        <v>40</v>
      </c>
      <c r="C4" t="s">
        <v>18</v>
      </c>
    </row>
    <row r="5" spans="1:3">
      <c r="A5" t="s">
        <v>19</v>
      </c>
      <c r="B5" t="s">
        <v>43</v>
      </c>
    </row>
    <row r="6" spans="1:3">
      <c r="A6" t="s">
        <v>20</v>
      </c>
      <c r="B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النطاقات المسماة</vt:lpstr>
      </vt:variant>
      <vt:variant>
        <vt:i4>1</vt:i4>
      </vt:variant>
    </vt:vector>
  </HeadingPairs>
  <TitlesOfParts>
    <vt:vector size="5" baseType="lpstr">
      <vt:lpstr>Dashboard</vt:lpstr>
      <vt:lpstr>Inventory</vt:lpstr>
      <vt:lpstr>Suppliers</vt:lpstr>
      <vt:lpstr>Lists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rashidalbloushi5@gmail.com</cp:lastModifiedBy>
  <dcterms:modified xsi:type="dcterms:W3CDTF">2026-09-28T22:06:08Z</dcterms:modified>
</cp:coreProperties>
</file>