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e40195eb4e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012410caef64b22"/>
    <x:sheet xmlns:r="http://schemas.openxmlformats.org/officeDocument/2006/relationships" name="Inventory" sheetId="2" r:id="R3a4dde0808854b94"/>
    <x:sheet xmlns:r="http://schemas.openxmlformats.org/officeDocument/2006/relationships" name="Suppliers" sheetId="3" r:id="Rb664769122814064"/>
    <x:sheet xmlns:r="http://schemas.openxmlformats.org/officeDocument/2006/relationships" name="Lists" sheetId="4" r:id="R1ce2e594db684e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.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1F4E78"/>
      <x:name val="Carlito"/>
    </x:font>
    <x:font>
      <x:i/>
      <x:sz val="11"/>
      <x:color rgb="FF666666"/>
      <x:name val="Carlito"/>
    </x:font>
    <x:font>
      <x:b/>
      <x:sz val="11"/>
      <x:name val="Carlito"/>
    </x:font>
    <x:font>
      <x:b/>
      <x:sz val="1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7F9FC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200" fontId="5" fillId="4" borderId="0" xfId="0" applyNumberFormat="1" applyFont="1" applyFill="1" applyBorder="1" applyAlignment="1">
      <x:alignment horizontal="center" vertical="center"/>
    </x:xf>
    <x:xf numFmtId="200" fontId="5" fillId="4" borderId="1" xfId="0" applyNumberFormat="1" applyFont="1" applyFill="1" applyBorder="1" applyAlignment="1">
      <x:alignment horizontal="center" vertical="center"/>
    </x:xf>
    <x:xf numFmtId="201" fontId="5" fillId="4" borderId="0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5eb3542c604e93" /><Relationship Type="http://schemas.openxmlformats.org/officeDocument/2006/relationships/theme" Target="/xl/theme/theme1.xml" Id="Rf7eb02cc5486494d" /><Relationship Type="http://schemas.openxmlformats.org/officeDocument/2006/relationships/sharedStrings" Target="/xl/sharedStrings.xml" Id="R81e1a4b8333d4c29" /><Relationship Type="http://schemas.openxmlformats.org/officeDocument/2006/relationships/worksheet" Target="/xl/worksheets/sheet1.xml" Id="Rd012410caef64b22" /><Relationship Type="http://schemas.openxmlformats.org/officeDocument/2006/relationships/worksheet" Target="/xl/worksheets/sheet2.xml" Id="R3a4dde0808854b94" /><Relationship Type="http://schemas.openxmlformats.org/officeDocument/2006/relationships/worksheet" Target="/xl/worksheets/sheet3.xml" Id="Rb664769122814064" /><Relationship Type="http://schemas.openxmlformats.org/officeDocument/2006/relationships/worksheet" Target="/xl/worksheets/sheet4.xml" Id="R1ce2e594db684e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f47a624f344035" /><Relationship Type="http://schemas.openxmlformats.org/officeDocument/2006/relationships/chart" Target="/xl/drawings/charts/chart2.xml" Id="Rcc5a58c250d2439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Inventory Value by Category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Inventory Value</c:v>
          </c:tx>
          <c:cat>
            <c:strRef>
              <c:f>'Dashboard'!$A$12:$A$16</c:f>
              <c:strCache>
                <c:ptCount val="0"/>
              </c:strCache>
            </c:strRef>
          </c:cat>
          <c:val>
            <c:numRef>
              <c:f>'Dashboard'!$B$12:$B$16</c:f>
              <c:numCache>
                <c:formatCode>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SKU Risk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SKUs</c:v>
          </c:tx>
          <c:cat>
            <c:strRef>
              <c:f>'Dashboard'!$D$12:$D$14</c:f>
              <c:strCache>
                <c:ptCount val="0"/>
              </c:strCache>
            </c:strRef>
          </c:cat>
          <c:val>
            <c:numRef>
              <c:f>'Dashboard'!$E$12:$E$14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f47a624f344035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5a58c250d243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ventoryTable" displayName="InventoryTable" ref="A1:M51" headerRowCount="1" totalsRowCount="0" totalsRowShown="0">
  <x:tableColumns count="13">
    <x:tableColumn id="1" name="SKU"/>
    <x:tableColumn id="2" name="Item"/>
    <x:tableColumn id="3" name="Category"/>
    <x:tableColumn id="4" name="Supplier"/>
    <x:tableColumn id="5" name="On Hand"/>
    <x:tableColumn id="6" name="Reorder Point"/>
    <x:tableColumn id="7" name="Safety Stock"/>
    <x:tableColumn id="8" name="Unit Cost"/>
    <x:tableColumn id="9" name="Lead Time Days"/>
    <x:tableColumn id="10" name="Demand 30d"/>
    <x:tableColumn id="11" name="Stock Cover Days"/>
    <x:tableColumn id="12" name="Stock Value"/>
    <x:tableColumn id="13" name="Ris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56c790d40d4c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bbb15df9de4278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4" t="str">
        <x:v>RA | Inventory &amp; Logistics Control Dashboard</x:v>
      </x:c>
      <x:c r="B1" s="14"/>
      <x:c r="C1" s="14"/>
      <x:c r="D1" s="14"/>
      <x:c r="E1" s="14"/>
      <x:c r="F1" s="14"/>
      <x:c r="G1" s="14"/>
      <x:c r="H1" s="14"/>
    </x:row>
    <x:row r="2">
      <x:c r="A2" s="16" t="str">
        <x:v>Synthetic supply-chain portfolio project for inventory control, purchasing visibility and logistics reporting</x:v>
      </x:c>
      <x:c r="B2" s="16"/>
      <x:c r="C2" s="16"/>
      <x:c r="D2" s="16"/>
      <x:c r="E2" s="16"/>
      <x:c r="F2" s="16"/>
      <x:c r="G2" s="16"/>
      <x:c r="H2" s="16"/>
    </x:row>
    <x:row r="4">
      <x:c r="A4" s="19" t="str">
        <x:v>Total SKUs</x:v>
      </x:c>
      <x:c r="B4" s="19"/>
      <x:c r="C4" s="19" t="str">
        <x:v>Inventory Value</x:v>
      </x:c>
      <x:c r="D4" s="19"/>
      <x:c r="E4" s="19" t="str">
        <x:v>Critical SKUs</x:v>
      </x:c>
      <x:c r="F4" s="19"/>
      <x:c r="G4" s="19" t="str">
        <x:v>Reorder SKUs</x:v>
      </x:c>
      <x:c r="H4" s="19"/>
    </x:row>
    <x:row r="5">
      <x:c r="A5" s="25" t="n">
        <x:f>COUNTA(Inventory!$A$2:$A$51)</x:f>
        <x:v>50</x:v>
      </x:c>
      <x:c r="B5" s="25"/>
      <x:c r="C5" s="30" t="n">
        <x:f>SUM(Inventory!$L$2:$L$51)</x:f>
        <x:v>43479.5</x:v>
      </x:c>
      <x:c r="D5" s="30"/>
      <x:c r="E5" s="25" t="n">
        <x:f>COUNTIF(Inventory!$M$2:$M$51,"Critical")</x:f>
        <x:v>12</x:v>
      </x:c>
      <x:c r="F5" s="25"/>
      <x:c r="G5" s="25" t="n">
        <x:f>COUNTIF(Inventory!$M$2:$M$51,"Reorder")</x:f>
        <x:v>11</x:v>
      </x:c>
      <x:c r="H5" s="25"/>
    </x:row>
    <x:row r="7">
      <x:c r="A7" s="19" t="str">
        <x:v>Healthy SKUs</x:v>
      </x:c>
      <x:c r="B7" s="19"/>
      <x:c r="C7" s="19" t="str">
        <x:v>Avg Cover Days</x:v>
      </x:c>
      <x:c r="D7" s="19"/>
      <x:c r="E7" s="19" t="str">
        <x:v>Suppliers</x:v>
      </x:c>
      <x:c r="F7" s="19"/>
      <x:c r="G7" s="19" t="str">
        <x:v>Avg Lead Time</x:v>
      </x:c>
      <x:c r="H7" s="19"/>
    </x:row>
    <x:row r="8">
      <x:c r="A8" s="25" t="n">
        <x:f>COUNTIF(Inventory!$M$2:$M$51,"Healthy")</x:f>
        <x:v>27</x:v>
      </x:c>
      <x:c r="B8" s="25"/>
      <x:c r="C8" s="32" t="n">
        <x:f>AVERAGE(Inventory!$K$2:$K$51)</x:f>
        <x:v>48.31131818181818</x:v>
      </x:c>
      <x:c r="D8" s="32"/>
      <x:c r="E8" s="25" t="n">
        <x:f>COUNTA(Suppliers!$A$2:$A$6)</x:f>
        <x:v>5</x:v>
      </x:c>
      <x:c r="F8" s="25"/>
      <x:c r="G8" s="32" t="n">
        <x:f>AVERAGE(Inventory!$I$2:$I$51)</x:f>
        <x:v>11.4</x:v>
      </x:c>
      <x:c r="H8" s="32"/>
    </x:row>
    <x:row r="11">
      <x:c r="A11" s="5" t="str">
        <x:v>Category</x:v>
      </x:c>
      <x:c r="B11" s="5" t="str">
        <x:v>Inventory Value</x:v>
      </x:c>
      <x:c r="D11" s="5" t="str">
        <x:v>Risk</x:v>
      </x:c>
      <x:c r="E11" s="5" t="str">
        <x:v>SKUs</x:v>
      </x:c>
    </x:row>
    <x:row r="12">
      <x:c r="A12" t="str">
        <x:v>Electronics</x:v>
      </x:c>
      <x:c r="B12" s="10" t="n">
        <x:f>SUMIF(Inventory!$C$2:$C$51,A12,Inventory!$L$2:$L$51)</x:f>
        <x:v>8999.75</x:v>
      </x:c>
      <x:c r="D12" t="str">
        <x:v>Critical</x:v>
      </x:c>
      <x:c r="E12" t="n">
        <x:f>COUNTIF(Inventory!$M$2:$M$51,D12)</x:f>
        <x:v>12</x:v>
      </x:c>
    </x:row>
    <x:row r="13">
      <x:c r="A13" t="str">
        <x:v>Consumables</x:v>
      </x:c>
      <x:c r="B13" s="10" t="n">
        <x:f>SUMIF(Inventory!$C$2:$C$51,A13,Inventory!$L$2:$L$51)</x:f>
        <x:v>7519.75</x:v>
      </x:c>
      <x:c r="D13" t="str">
        <x:v>Reorder</x:v>
      </x:c>
      <x:c r="E13" t="n">
        <x:f>COUNTIF(Inventory!$M$2:$M$51,D13)</x:f>
        <x:v>11</x:v>
      </x:c>
    </x:row>
    <x:row r="14">
      <x:c r="A14" t="str">
        <x:v>Packaging</x:v>
      </x:c>
      <x:c r="B14" s="10" t="n">
        <x:f>SUMIF(Inventory!$C$2:$C$51,A14,Inventory!$L$2:$L$51)</x:f>
        <x:v>7065.25</x:v>
      </x:c>
      <x:c r="D14" t="str">
        <x:v>Healthy</x:v>
      </x:c>
      <x:c r="E14" t="n">
        <x:f>COUNTIF(Inventory!$M$2:$M$51,D14)</x:f>
        <x:v>27</x:v>
      </x:c>
    </x:row>
    <x:row r="15">
      <x:c r="A15" t="str">
        <x:v>Tools</x:v>
      </x:c>
      <x:c r="B15" s="10" t="n">
        <x:f>SUMIF(Inventory!$C$2:$C$51,A15,Inventory!$L$2:$L$51)</x:f>
        <x:v>9398.5</x:v>
      </x:c>
    </x:row>
    <x:row r="16">
      <x:c r="A16" t="str">
        <x:v>Office</x:v>
      </x:c>
      <x:c r="B16" s="10" t="n">
        <x:f>SUMIF(Inventory!$C$2:$C$51,A16,Inventory!$L$2:$L$51)</x:f>
        <x:v>10496.25</x:v>
      </x:c>
    </x:row>
    <x:row r="19">
      <x:c r="A19" s="5" t="str">
        <x:v>Supplier</x:v>
      </x:c>
      <x:c r="B19" s="5" t="str">
        <x:v>SKUs</x:v>
      </x:c>
      <x:c r="C19" s="5" t="str">
        <x:v>Inventory Value</x:v>
      </x:c>
      <x:c r="D19" s="5" t="str">
        <x:v>Critical</x:v>
      </x:c>
      <x:c r="E19" s="5" t="str">
        <x:v>Reorder</x:v>
      </x:c>
      <x:c r="F19" s="5" t="str">
        <x:v>Avg Lead Time</x:v>
      </x:c>
    </x:row>
    <x:row r="20">
      <x:c r="A20" t="str">
        <x:f>Suppliers!A2</x:f>
        <x:v>Supplier A</x:v>
      </x:c>
      <x:c r="B20" t="n">
        <x:f>Suppliers!B2</x:f>
        <x:v>10</x:v>
      </x:c>
      <x:c r="C20" s="10" t="n">
        <x:f>Suppliers!C2</x:f>
        <x:v>8999.75</x:v>
      </x:c>
      <x:c r="D20" t="n">
        <x:f>Suppliers!D2</x:f>
        <x:v>1</x:v>
      </x:c>
      <x:c r="E20" t="n">
        <x:f>Suppliers!E2</x:f>
        <x:v>3</x:v>
      </x:c>
      <x:c r="F20" s="12" t="n">
        <x:f>Suppliers!F2</x:f>
        <x:v>5</x:v>
      </x:c>
    </x:row>
    <x:row r="21">
      <x:c r="A21" t="str">
        <x:f>Suppliers!A3</x:f>
        <x:v>Supplier B</x:v>
      </x:c>
      <x:c r="B21" t="n">
        <x:f>Suppliers!B3</x:f>
        <x:v>10</x:v>
      </x:c>
      <x:c r="C21" s="10" t="n">
        <x:f>Suppliers!C3</x:f>
        <x:v>7519.75</x:v>
      </x:c>
      <x:c r="D21" t="n">
        <x:f>Suppliers!D3</x:f>
        <x:v>1</x:v>
      </x:c>
      <x:c r="E21" t="n">
        <x:f>Suppliers!E3</x:f>
        <x:v>3</x:v>
      </x:c>
      <x:c r="F21" s="12" t="n">
        <x:f>Suppliers!F3</x:f>
        <x:v>7</x:v>
      </x:c>
    </x:row>
    <x:row r="22">
      <x:c r="A22" t="str">
        <x:f>Suppliers!A4</x:f>
        <x:v>Supplier C</x:v>
      </x:c>
      <x:c r="B22" t="n">
        <x:f>Suppliers!B4</x:f>
        <x:v>10</x:v>
      </x:c>
      <x:c r="C22" s="10" t="n">
        <x:f>Suppliers!C4</x:f>
        <x:v>7065.25</x:v>
      </x:c>
      <x:c r="D22" t="n">
        <x:f>Suppliers!D4</x:f>
        <x:v>3</x:v>
      </x:c>
      <x:c r="E22" t="n">
        <x:f>Suppliers!E4</x:f>
        <x:v>2</x:v>
      </x:c>
      <x:c r="F22" s="12" t="n">
        <x:f>Suppliers!F4</x:f>
        <x:v>10</x:v>
      </x:c>
    </x:row>
    <x:row r="23">
      <x:c r="A23" t="str">
        <x:f>Suppliers!A5</x:f>
        <x:v>Supplier D</x:v>
      </x:c>
      <x:c r="B23" t="n">
        <x:f>Suppliers!B5</x:f>
        <x:v>10</x:v>
      </x:c>
      <x:c r="C23" s="10" t="n">
        <x:f>Suppliers!C5</x:f>
        <x:v>9398.5</x:v>
      </x:c>
      <x:c r="D23" t="n">
        <x:f>Suppliers!D5</x:f>
        <x:v>3</x:v>
      </x:c>
      <x:c r="E23" t="n">
        <x:f>Suppliers!E5</x:f>
        <x:v>1</x:v>
      </x:c>
      <x:c r="F23" s="12" t="n">
        <x:f>Suppliers!F5</x:f>
        <x:v>14</x:v>
      </x:c>
    </x:row>
    <x:row r="24">
      <x:c r="A24" t="str">
        <x:f>Suppliers!A6</x:f>
        <x:v>Supplier E</x:v>
      </x:c>
      <x:c r="B24" t="n">
        <x:f>Suppliers!B6</x:f>
        <x:v>10</x:v>
      </x:c>
      <x:c r="C24" s="10" t="n">
        <x:f>Suppliers!C6</x:f>
        <x:v>10496.25</x:v>
      </x:c>
      <x:c r="D24" t="n">
        <x:f>Suppliers!D6</x:f>
        <x:v>4</x:v>
      </x:c>
      <x:c r="E24" t="n">
        <x:f>Suppliers!E6</x:f>
        <x:v>2</x:v>
      </x:c>
      <x:c r="F24" s="12" t="n">
        <x:f>Suppliers!F6</x:f>
        <x:v>21</x:v>
      </x:c>
    </x:row>
  </x:sheetData>
  <x:mergeCells>
    <x:mergeCell ref="A1:H1"/>
    <x:mergeCell ref="A2:H2"/>
    <x:mergeCell ref="A4:B4"/>
    <x:mergeCell ref="A5:B5"/>
    <x:mergeCell ref="C4:D4"/>
    <x:mergeCell ref="C5:D5"/>
    <x:mergeCell ref="E4:F4"/>
    <x:mergeCell ref="E5:F5"/>
    <x:mergeCell ref="G4:H4"/>
    <x:mergeCell ref="G5:H5"/>
    <x:mergeCell ref="A7:B7"/>
    <x:mergeCell ref="A8:B8"/>
    <x:mergeCell ref="C7:D7"/>
    <x:mergeCell ref="C8:D8"/>
    <x:mergeCell ref="E7:F7"/>
    <x:mergeCell ref="E8:F8"/>
    <x:mergeCell ref="G7:H7"/>
    <x:mergeCell ref="G8:H8"/>
  </x:mergeCells>
  <x:pageMargins left="0.7" right="0.7" top="0.75" bottom="0.75" header="0.3" footer="0.3"/>
  <x:drawing xmlns:r="http://schemas.openxmlformats.org/officeDocument/2006/relationships" r:id="Rdb56c790d40d4c9b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2" hidden="0" customWidth="1"/>
    <x:col min="3" max="3" width="15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3" hidden="0" customWidth="1"/>
    <x:col min="10" max="10" width="13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>
      <x:c r="A1" s="5" t="str">
        <x:v>SKU</x:v>
      </x:c>
      <x:c r="B1" s="5" t="str">
        <x:v>Item</x:v>
      </x:c>
      <x:c r="C1" s="5" t="str">
        <x:v>Category</x:v>
      </x:c>
      <x:c r="D1" s="5" t="str">
        <x:v>Supplier</x:v>
      </x:c>
      <x:c r="E1" s="5" t="str">
        <x:v>On Hand</x:v>
      </x:c>
      <x:c r="F1" s="5" t="str">
        <x:v>Reorder Point</x:v>
      </x:c>
      <x:c r="G1" s="5" t="str">
        <x:v>Safety Stock</x:v>
      </x:c>
      <x:c r="H1" s="5" t="str">
        <x:v>Unit Cost</x:v>
      </x:c>
      <x:c r="I1" s="5" t="str">
        <x:v>Lead Time Days</x:v>
      </x:c>
      <x:c r="J1" s="5" t="str">
        <x:v>Demand 30d</x:v>
      </x:c>
      <x:c r="K1" s="5" t="str">
        <x:v>Stock Cover Days</x:v>
      </x:c>
      <x:c r="L1" s="5" t="str">
        <x:v>Stock Value</x:v>
      </x:c>
      <x:c r="M1" s="5" t="str">
        <x:v>Risk</x:v>
      </x:c>
    </x:row>
    <x:row r="2">
      <x:c r="A2" t="str">
        <x:v>SKU-001</x:v>
      </x:c>
      <x:c r="B2" t="str">
        <x:v>Portfolio Item 1</x:v>
      </x:c>
      <x:c r="C2" t="str">
        <x:v>Electronics</x:v>
      </x:c>
      <x:c r="D2" t="str">
        <x:v>Supplier A</x:v>
      </x:c>
      <x:c r="E2" t="n">
        <x:v>8</x:v>
      </x:c>
      <x:c r="F2" t="n">
        <x:v>20</x:v>
      </x:c>
      <x:c r="G2" t="n">
        <x:v>10</x:v>
      </x:c>
      <x:c r="H2" s="10" t="n">
        <x:v>12.5</x:v>
      </x:c>
      <x:c r="I2" t="n">
        <x:v>5</x:v>
      </x:c>
      <x:c r="J2" t="n">
        <x:v>15</x:v>
      </x:c>
      <x:c r="K2" s="12" t="n">
        <x:f>IF(J2=0,0,E2/(J2/30))</x:f>
        <x:v>16</x:v>
      </x:c>
      <x:c r="L2" s="10" t="n">
        <x:f>E2*H2</x:f>
        <x:v>100</x:v>
      </x:c>
      <x:c r="M2" t="str">
        <x:f>IF(E2&lt;=G2,"Critical",IF(E2&lt;=F2,"Reorder","Healthy"))</x:f>
        <x:v>Critical</x:v>
      </x:c>
    </x:row>
    <x:row r="3">
      <x:c r="A3" t="str">
        <x:v>SKU-002</x:v>
      </x:c>
      <x:c r="B3" t="str">
        <x:v>Portfolio Item 2</x:v>
      </x:c>
      <x:c r="C3" t="str">
        <x:v>Consumables</x:v>
      </x:c>
      <x:c r="D3" t="str">
        <x:v>Supplier B</x:v>
      </x:c>
      <x:c r="E3" t="n">
        <x:v>21</x:v>
      </x:c>
      <x:c r="F3" t="n">
        <x:v>25</x:v>
      </x:c>
      <x:c r="G3" t="n">
        <x:v>15</x:v>
      </x:c>
      <x:c r="H3" s="10" t="n">
        <x:v>25</x:v>
      </x:c>
      <x:c r="I3" t="n">
        <x:v>7</x:v>
      </x:c>
      <x:c r="J3" t="n">
        <x:v>25</x:v>
      </x:c>
      <x:c r="K3" s="12" t="n">
        <x:f>IF(J3=0,0,E3/(J3/30))</x:f>
        <x:v>25.2</x:v>
      </x:c>
      <x:c r="L3" s="10" t="n">
        <x:f>E3*H3</x:f>
        <x:v>525</x:v>
      </x:c>
      <x:c r="M3" t="str">
        <x:f>IF(E3&lt;=G3,"Critical",IF(E3&lt;=F3,"Reorder","Healthy"))</x:f>
        <x:v>Reorder</x:v>
      </x:c>
    </x:row>
    <x:row r="4">
      <x:c r="A4" t="str">
        <x:v>SKU-003</x:v>
      </x:c>
      <x:c r="B4" t="str">
        <x:v>Portfolio Item 3</x:v>
      </x:c>
      <x:c r="C4" t="str">
        <x:v>Packaging</x:v>
      </x:c>
      <x:c r="D4" t="str">
        <x:v>Supplier C</x:v>
      </x:c>
      <x:c r="E4" t="n">
        <x:v>41</x:v>
      </x:c>
      <x:c r="F4" t="n">
        <x:v>30</x:v>
      </x:c>
      <x:c r="G4" t="n">
        <x:v>20</x:v>
      </x:c>
      <x:c r="H4" s="10" t="n">
        <x:v>7.75</x:v>
      </x:c>
      <x:c r="I4" t="n">
        <x:v>10</x:v>
      </x:c>
      <x:c r="J4" t="n">
        <x:v>40</x:v>
      </x:c>
      <x:c r="K4" s="12" t="n">
        <x:f>IF(J4=0,0,E4/(J4/30))</x:f>
        <x:v>30.75</x:v>
      </x:c>
      <x:c r="L4" s="10" t="n">
        <x:f>E4*H4</x:f>
        <x:v>317.75</x:v>
      </x:c>
      <x:c r="M4" t="str">
        <x:f>IF(E4&lt;=G4,"Critical",IF(E4&lt;=F4,"Reorder","Healthy"))</x:f>
        <x:v>Healthy</x:v>
      </x:c>
    </x:row>
    <x:row r="5">
      <x:c r="A5" t="str">
        <x:v>SKU-004</x:v>
      </x:c>
      <x:c r="B5" t="str">
        <x:v>Portfolio Item 4</x:v>
      </x:c>
      <x:c r="C5" t="str">
        <x:v>Tools</x:v>
      </x:c>
      <x:c r="D5" t="str">
        <x:v>Supplier D</x:v>
      </x:c>
      <x:c r="E5" t="n">
        <x:v>69</x:v>
      </x:c>
      <x:c r="F5" t="n">
        <x:v>35</x:v>
      </x:c>
      <x:c r="G5" t="n">
        <x:v>25</x:v>
      </x:c>
      <x:c r="H5" s="10" t="n">
        <x:v>45</x:v>
      </x:c>
      <x:c r="I5" t="n">
        <x:v>14</x:v>
      </x:c>
      <x:c r="J5" t="n">
        <x:v>55</x:v>
      </x:c>
      <x:c r="K5" s="12" t="n">
        <x:f>IF(J5=0,0,E5/(J5/30))</x:f>
        <x:v>37.63636363636364</x:v>
      </x:c>
      <x:c r="L5" s="10" t="n">
        <x:f>E5*H5</x:f>
        <x:v>3105</x:v>
      </x:c>
      <x:c r="M5" t="str">
        <x:f>IF(E5&lt;=G5,"Critical",IF(E5&lt;=F5,"Reorder","Healthy"))</x:f>
        <x:v>Healthy</x:v>
      </x:c>
    </x:row>
    <x:row r="6">
      <x:c r="A6" t="str">
        <x:v>SKU-005</x:v>
      </x:c>
      <x:c r="B6" t="str">
        <x:v>Portfolio Item 5</x:v>
      </x:c>
      <x:c r="C6" t="str">
        <x:v>Office</x:v>
      </x:c>
      <x:c r="D6" t="str">
        <x:v>Supplier E</x:v>
      </x:c>
      <x:c r="E6" t="n">
        <x:v>120</x:v>
      </x:c>
      <x:c r="F6" t="n">
        <x:v>40</x:v>
      </x:c>
      <x:c r="G6" t="n">
        <x:v>30</x:v>
      </x:c>
      <x:c r="H6" s="10" t="n">
        <x:v>3.5</x:v>
      </x:c>
      <x:c r="I6" t="n">
        <x:v>21</x:v>
      </x:c>
      <x:c r="J6" t="n">
        <x:v>80</x:v>
      </x:c>
      <x:c r="K6" s="12" t="n">
        <x:f>IF(J6=0,0,E6/(J6/30))</x:f>
        <x:v>45</x:v>
      </x:c>
      <x:c r="L6" s="10" t="n">
        <x:f>E6*H6</x:f>
        <x:v>420</x:v>
      </x:c>
      <x:c r="M6" t="str">
        <x:f>IF(E6&lt;=G6,"Critical",IF(E6&lt;=F6,"Reorder","Healthy"))</x:f>
        <x:v>Healthy</x:v>
      </x:c>
    </x:row>
    <x:row r="7">
      <x:c r="A7" t="str">
        <x:v>SKU-006</x:v>
      </x:c>
      <x:c r="B7" t="str">
        <x:v>Portfolio Item 6</x:v>
      </x:c>
      <x:c r="C7" t="str">
        <x:v>Electronics</x:v>
      </x:c>
      <x:c r="D7" t="str">
        <x:v>Supplier A</x:v>
      </x:c>
      <x:c r="E7" t="n">
        <x:v>18</x:v>
      </x:c>
      <x:c r="F7" t="n">
        <x:v>20</x:v>
      </x:c>
      <x:c r="G7" t="n">
        <x:v>10</x:v>
      </x:c>
      <x:c r="H7" s="10" t="n">
        <x:v>18</x:v>
      </x:c>
      <x:c r="I7" t="n">
        <x:v>5</x:v>
      </x:c>
      <x:c r="J7" t="n">
        <x:v>20</x:v>
      </x:c>
      <x:c r="K7" s="12" t="n">
        <x:f>IF(J7=0,0,E7/(J7/30))</x:f>
        <x:v>27</x:v>
      </x:c>
      <x:c r="L7" s="10" t="n">
        <x:f>E7*H7</x:f>
        <x:v>324</x:v>
      </x:c>
      <x:c r="M7" t="str">
        <x:f>IF(E7&lt;=G7,"Critical",IF(E7&lt;=F7,"Reorder","Healthy"))</x:f>
        <x:v>Reorder</x:v>
      </x:c>
    </x:row>
    <x:row r="8">
      <x:c r="A8" t="str">
        <x:v>SKU-007</x:v>
      </x:c>
      <x:c r="B8" t="str">
        <x:v>Portfolio Item 7</x:v>
      </x:c>
      <x:c r="C8" t="str">
        <x:v>Consumables</x:v>
      </x:c>
      <x:c r="D8" t="str">
        <x:v>Supplier B</x:v>
      </x:c>
      <x:c r="E8" t="n">
        <x:v>51</x:v>
      </x:c>
      <x:c r="F8" t="n">
        <x:v>25</x:v>
      </x:c>
      <x:c r="G8" t="n">
        <x:v>15</x:v>
      </x:c>
      <x:c r="H8" s="10" t="n">
        <x:v>12.5</x:v>
      </x:c>
      <x:c r="I8" t="n">
        <x:v>7</x:v>
      </x:c>
      <x:c r="J8" t="n">
        <x:v>15</x:v>
      </x:c>
      <x:c r="K8" s="12" t="n">
        <x:f>IF(J8=0,0,E8/(J8/30))</x:f>
        <x:v>102</x:v>
      </x:c>
      <x:c r="L8" s="10" t="n">
        <x:f>E8*H8</x:f>
        <x:v>637.5</x:v>
      </x:c>
      <x:c r="M8" t="str">
        <x:f>IF(E8&lt;=G8,"Critical",IF(E8&lt;=F8,"Reorder","Healthy"))</x:f>
        <x:v>Healthy</x:v>
      </x:c>
    </x:row>
    <x:row r="9">
      <x:c r="A9" t="str">
        <x:v>SKU-008</x:v>
      </x:c>
      <x:c r="B9" t="str">
        <x:v>Portfolio Item 8</x:v>
      </x:c>
      <x:c r="C9" t="str">
        <x:v>Packaging</x:v>
      </x:c>
      <x:c r="D9" t="str">
        <x:v>Supplier C</x:v>
      </x:c>
      <x:c r="E9" t="n">
        <x:v>17</x:v>
      </x:c>
      <x:c r="F9" t="n">
        <x:v>30</x:v>
      </x:c>
      <x:c r="G9" t="n">
        <x:v>20</x:v>
      </x:c>
      <x:c r="H9" s="10" t="n">
        <x:v>25</x:v>
      </x:c>
      <x:c r="I9" t="n">
        <x:v>10</x:v>
      </x:c>
      <x:c r="J9" t="n">
        <x:v>25</x:v>
      </x:c>
      <x:c r="K9" s="12" t="n">
        <x:f>IF(J9=0,0,E9/(J9/30))</x:f>
        <x:v>20.4</x:v>
      </x:c>
      <x:c r="L9" s="10" t="n">
        <x:f>E9*H9</x:f>
        <x:v>425</x:v>
      </x:c>
      <x:c r="M9" t="str">
        <x:f>IF(E9&lt;=G9,"Critical",IF(E9&lt;=F9,"Reorder","Healthy"))</x:f>
        <x:v>Critical</x:v>
      </x:c>
    </x:row>
    <x:row r="10">
      <x:c r="A10" t="str">
        <x:v>SKU-009</x:v>
      </x:c>
      <x:c r="B10" t="str">
        <x:v>Portfolio Item 9</x:v>
      </x:c>
      <x:c r="C10" t="str">
        <x:v>Tools</x:v>
      </x:c>
      <x:c r="D10" t="str">
        <x:v>Supplier D</x:v>
      </x:c>
      <x:c r="E10" t="n">
        <x:v>18</x:v>
      </x:c>
      <x:c r="F10" t="n">
        <x:v>35</x:v>
      </x:c>
      <x:c r="G10" t="n">
        <x:v>25</x:v>
      </x:c>
      <x:c r="H10" s="10" t="n">
        <x:v>7.75</x:v>
      </x:c>
      <x:c r="I10" t="n">
        <x:v>14</x:v>
      </x:c>
      <x:c r="J10" t="n">
        <x:v>40</x:v>
      </x:c>
      <x:c r="K10" s="12" t="n">
        <x:f>IF(J10=0,0,E10/(J10/30))</x:f>
        <x:v>13.5</x:v>
      </x:c>
      <x:c r="L10" s="10" t="n">
        <x:f>E10*H10</x:f>
        <x:v>139.5</x:v>
      </x:c>
      <x:c r="M10" t="str">
        <x:f>IF(E10&lt;=G10,"Critical",IF(E10&lt;=F10,"Reorder","Healthy"))</x:f>
        <x:v>Critical</x:v>
      </x:c>
    </x:row>
    <x:row r="11">
      <x:c r="A11" t="str">
        <x:v>SKU-010</x:v>
      </x:c>
      <x:c r="B11" t="str">
        <x:v>Portfolio Item 10</x:v>
      </x:c>
      <x:c r="C11" t="str">
        <x:v>Office</x:v>
      </x:c>
      <x:c r="D11" t="str">
        <x:v>Supplier E</x:v>
      </x:c>
      <x:c r="E11" t="n">
        <x:v>38</x:v>
      </x:c>
      <x:c r="F11" t="n">
        <x:v>40</x:v>
      </x:c>
      <x:c r="G11" t="n">
        <x:v>30</x:v>
      </x:c>
      <x:c r="H11" s="10" t="n">
        <x:v>45</x:v>
      </x:c>
      <x:c r="I11" t="n">
        <x:v>21</x:v>
      </x:c>
      <x:c r="J11" t="n">
        <x:v>55</x:v>
      </x:c>
      <x:c r="K11" s="12" t="n">
        <x:f>IF(J11=0,0,E11/(J11/30))</x:f>
        <x:v>20.727272727272727</x:v>
      </x:c>
      <x:c r="L11" s="10" t="n">
        <x:f>E11*H11</x:f>
        <x:v>1710</x:v>
      </x:c>
      <x:c r="M11" t="str">
        <x:f>IF(E11&lt;=G11,"Critical",IF(E11&lt;=F11,"Reorder","Healthy"))</x:f>
        <x:v>Reorder</x:v>
      </x:c>
    </x:row>
    <x:row r="12">
      <x:c r="A12" t="str">
        <x:v>SKU-011</x:v>
      </x:c>
      <x:c r="B12" t="str">
        <x:v>Portfolio Item 11</x:v>
      </x:c>
      <x:c r="C12" t="str">
        <x:v>Electronics</x:v>
      </x:c>
      <x:c r="D12" t="str">
        <x:v>Supplier A</x:v>
      </x:c>
      <x:c r="E12" t="n">
        <x:v>66</x:v>
      </x:c>
      <x:c r="F12" t="n">
        <x:v>20</x:v>
      </x:c>
      <x:c r="G12" t="n">
        <x:v>10</x:v>
      </x:c>
      <x:c r="H12" s="10" t="n">
        <x:v>3.5</x:v>
      </x:c>
      <x:c r="I12" t="n">
        <x:v>5</x:v>
      </x:c>
      <x:c r="J12" t="n">
        <x:v>80</x:v>
      </x:c>
      <x:c r="K12" s="12" t="n">
        <x:f>IF(J12=0,0,E12/(J12/30))</x:f>
        <x:v>24.75</x:v>
      </x:c>
      <x:c r="L12" s="10" t="n">
        <x:f>E12*H12</x:f>
        <x:v>231</x:v>
      </x:c>
      <x:c r="M12" t="str">
        <x:f>IF(E12&lt;=G12,"Critical",IF(E12&lt;=F12,"Reorder","Healthy"))</x:f>
        <x:v>Healthy</x:v>
      </x:c>
    </x:row>
    <x:row r="13">
      <x:c r="A13" t="str">
        <x:v>SKU-012</x:v>
      </x:c>
      <x:c r="B13" t="str">
        <x:v>Portfolio Item 12</x:v>
      </x:c>
      <x:c r="C13" t="str">
        <x:v>Consumables</x:v>
      </x:c>
      <x:c r="D13" t="str">
        <x:v>Supplier B</x:v>
      </x:c>
      <x:c r="E13" t="n">
        <x:v>129</x:v>
      </x:c>
      <x:c r="F13" t="n">
        <x:v>25</x:v>
      </x:c>
      <x:c r="G13" t="n">
        <x:v>15</x:v>
      </x:c>
      <x:c r="H13" s="10" t="n">
        <x:v>18</x:v>
      </x:c>
      <x:c r="I13" t="n">
        <x:v>7</x:v>
      </x:c>
      <x:c r="J13" t="n">
        <x:v>20</x:v>
      </x:c>
      <x:c r="K13" s="12" t="n">
        <x:f>IF(J13=0,0,E13/(J13/30))</x:f>
        <x:v>193.5</x:v>
      </x:c>
      <x:c r="L13" s="10" t="n">
        <x:f>E13*H13</x:f>
        <x:v>2322</x:v>
      </x:c>
      <x:c r="M13" t="str">
        <x:f>IF(E13&lt;=G13,"Critical",IF(E13&lt;=F13,"Reorder","Healthy"))</x:f>
        <x:v>Healthy</x:v>
      </x:c>
    </x:row>
    <x:row r="14">
      <x:c r="A14" t="str">
        <x:v>SKU-013</x:v>
      </x:c>
      <x:c r="B14" t="str">
        <x:v>Portfolio Item 13</x:v>
      </x:c>
      <x:c r="C14" t="str">
        <x:v>Packaging</x:v>
      </x:c>
      <x:c r="D14" t="str">
        <x:v>Supplier C</x:v>
      </x:c>
      <x:c r="E14" t="n">
        <x:v>15</x:v>
      </x:c>
      <x:c r="F14" t="n">
        <x:v>30</x:v>
      </x:c>
      <x:c r="G14" t="n">
        <x:v>20</x:v>
      </x:c>
      <x:c r="H14" s="10" t="n">
        <x:v>12.5</x:v>
      </x:c>
      <x:c r="I14" t="n">
        <x:v>10</x:v>
      </x:c>
      <x:c r="J14" t="n">
        <x:v>15</x:v>
      </x:c>
      <x:c r="K14" s="12" t="n">
        <x:f>IF(J14=0,0,E14/(J14/30))</x:f>
        <x:v>30</x:v>
      </x:c>
      <x:c r="L14" s="10" t="n">
        <x:f>E14*H14</x:f>
        <x:v>187.5</x:v>
      </x:c>
      <x:c r="M14" t="str">
        <x:f>IF(E14&lt;=G14,"Critical",IF(E14&lt;=F14,"Reorder","Healthy"))</x:f>
        <x:v>Critical</x:v>
      </x:c>
    </x:row>
    <x:row r="15">
      <x:c r="A15" t="str">
        <x:v>SKU-014</x:v>
      </x:c>
      <x:c r="B15" t="str">
        <x:v>Portfolio Item 14</x:v>
      </x:c>
      <x:c r="C15" t="str">
        <x:v>Tools</x:v>
      </x:c>
      <x:c r="D15" t="str">
        <x:v>Supplier D</x:v>
      </x:c>
      <x:c r="E15" t="n">
        <x:v>48</x:v>
      </x:c>
      <x:c r="F15" t="n">
        <x:v>35</x:v>
      </x:c>
      <x:c r="G15" t="n">
        <x:v>25</x:v>
      </x:c>
      <x:c r="H15" s="10" t="n">
        <x:v>25</x:v>
      </x:c>
      <x:c r="I15" t="n">
        <x:v>14</x:v>
      </x:c>
      <x:c r="J15" t="n">
        <x:v>25</x:v>
      </x:c>
      <x:c r="K15" s="12" t="n">
        <x:f>IF(J15=0,0,E15/(J15/30))</x:f>
        <x:v>57.599999999999994</x:v>
      </x:c>
      <x:c r="L15" s="10" t="n">
        <x:f>E15*H15</x:f>
        <x:v>1200</x:v>
      </x:c>
      <x:c r="M15" t="str">
        <x:f>IF(E15&lt;=G15,"Critical",IF(E15&lt;=F15,"Reorder","Healthy"))</x:f>
        <x:v>Healthy</x:v>
      </x:c>
    </x:row>
    <x:row r="16">
      <x:c r="A16" t="str">
        <x:v>SKU-015</x:v>
      </x:c>
      <x:c r="B16" t="str">
        <x:v>Portfolio Item 15</x:v>
      </x:c>
      <x:c r="C16" t="str">
        <x:v>Office</x:v>
      </x:c>
      <x:c r="D16" t="str">
        <x:v>Supplier E</x:v>
      </x:c>
      <x:c r="E16" t="n">
        <x:v>14</x:v>
      </x:c>
      <x:c r="F16" t="n">
        <x:v>40</x:v>
      </x:c>
      <x:c r="G16" t="n">
        <x:v>30</x:v>
      </x:c>
      <x:c r="H16" s="10" t="n">
        <x:v>7.75</x:v>
      </x:c>
      <x:c r="I16" t="n">
        <x:v>21</x:v>
      </x:c>
      <x:c r="J16" t="n">
        <x:v>40</x:v>
      </x:c>
      <x:c r="K16" s="12" t="n">
        <x:f>IF(J16=0,0,E16/(J16/30))</x:f>
        <x:v>10.5</x:v>
      </x:c>
      <x:c r="L16" s="10" t="n">
        <x:f>E16*H16</x:f>
        <x:v>108.5</x:v>
      </x:c>
      <x:c r="M16" t="str">
        <x:f>IF(E16&lt;=G16,"Critical",IF(E16&lt;=F16,"Reorder","Healthy"))</x:f>
        <x:v>Critical</x:v>
      </x:c>
    </x:row>
    <x:row r="17">
      <x:c r="A17" t="str">
        <x:v>SKU-016</x:v>
      </x:c>
      <x:c r="B17" t="str">
        <x:v>Portfolio Item 16</x:v>
      </x:c>
      <x:c r="C17" t="str">
        <x:v>Electronics</x:v>
      </x:c>
      <x:c r="D17" t="str">
        <x:v>Supplier A</x:v>
      </x:c>
      <x:c r="E17" t="n">
        <x:v>27</x:v>
      </x:c>
      <x:c r="F17" t="n">
        <x:v>20</x:v>
      </x:c>
      <x:c r="G17" t="n">
        <x:v>10</x:v>
      </x:c>
      <x:c r="H17" s="10" t="n">
        <x:v>45</x:v>
      </x:c>
      <x:c r="I17" t="n">
        <x:v>5</x:v>
      </x:c>
      <x:c r="J17" t="n">
        <x:v>55</x:v>
      </x:c>
      <x:c r="K17" s="12" t="n">
        <x:f>IF(J17=0,0,E17/(J17/30))</x:f>
        <x:v>14.727272727272728</x:v>
      </x:c>
      <x:c r="L17" s="10" t="n">
        <x:f>E17*H17</x:f>
        <x:v>1215</x:v>
      </x:c>
      <x:c r="M17" t="str">
        <x:f>IF(E17&lt;=G17,"Critical",IF(E17&lt;=F17,"Reorder","Healthy"))</x:f>
        <x:v>Healthy</x:v>
      </x:c>
    </x:row>
    <x:row r="18">
      <x:c r="A18" t="str">
        <x:v>SKU-017</x:v>
      </x:c>
      <x:c r="B18" t="str">
        <x:v>Portfolio Item 17</x:v>
      </x:c>
      <x:c r="C18" t="str">
        <x:v>Consumables</x:v>
      </x:c>
      <x:c r="D18" t="str">
        <x:v>Supplier B</x:v>
      </x:c>
      <x:c r="E18" t="n">
        <x:v>35</x:v>
      </x:c>
      <x:c r="F18" t="n">
        <x:v>25</x:v>
      </x:c>
      <x:c r="G18" t="n">
        <x:v>15</x:v>
      </x:c>
      <x:c r="H18" s="10" t="n">
        <x:v>3.5</x:v>
      </x:c>
      <x:c r="I18" t="n">
        <x:v>7</x:v>
      </x:c>
      <x:c r="J18" t="n">
        <x:v>80</x:v>
      </x:c>
      <x:c r="K18" s="12" t="n">
        <x:f>IF(J18=0,0,E18/(J18/30))</x:f>
        <x:v>13.125</x:v>
      </x:c>
      <x:c r="L18" s="10" t="n">
        <x:f>E18*H18</x:f>
        <x:v>122.5</x:v>
      </x:c>
      <x:c r="M18" t="str">
        <x:f>IF(E18&lt;=G18,"Critical",IF(E18&lt;=F18,"Reorder","Healthy"))</x:f>
        <x:v>Healthy</x:v>
      </x:c>
    </x:row>
    <x:row r="19">
      <x:c r="A19" t="str">
        <x:v>SKU-018</x:v>
      </x:c>
      <x:c r="B19" t="str">
        <x:v>Portfolio Item 18</x:v>
      </x:c>
      <x:c r="C19" t="str">
        <x:v>Packaging</x:v>
      </x:c>
      <x:c r="D19" t="str">
        <x:v>Supplier C</x:v>
      </x:c>
      <x:c r="E19" t="n">
        <x:v>63</x:v>
      </x:c>
      <x:c r="F19" t="n">
        <x:v>30</x:v>
      </x:c>
      <x:c r="G19" t="n">
        <x:v>20</x:v>
      </x:c>
      <x:c r="H19" s="10" t="n">
        <x:v>18</x:v>
      </x:c>
      <x:c r="I19" t="n">
        <x:v>10</x:v>
      </x:c>
      <x:c r="J19" t="n">
        <x:v>20</x:v>
      </x:c>
      <x:c r="K19" s="12" t="n">
        <x:f>IF(J19=0,0,E19/(J19/30))</x:f>
        <x:v>94.5</x:v>
      </x:c>
      <x:c r="L19" s="10" t="n">
        <x:f>E19*H19</x:f>
        <x:v>1134</x:v>
      </x:c>
      <x:c r="M19" t="str">
        <x:f>IF(E19&lt;=G19,"Critical",IF(E19&lt;=F19,"Reorder","Healthy"))</x:f>
        <x:v>Healthy</x:v>
      </x:c>
    </x:row>
    <x:row r="20">
      <x:c r="A20" t="str">
        <x:v>SKU-019</x:v>
      </x:c>
      <x:c r="B20" t="str">
        <x:v>Portfolio Item 19</x:v>
      </x:c>
      <x:c r="C20" t="str">
        <x:v>Tools</x:v>
      </x:c>
      <x:c r="D20" t="str">
        <x:v>Supplier D</x:v>
      </x:c>
      <x:c r="E20" t="n">
        <x:v>126</x:v>
      </x:c>
      <x:c r="F20" t="n">
        <x:v>35</x:v>
      </x:c>
      <x:c r="G20" t="n">
        <x:v>25</x:v>
      </x:c>
      <x:c r="H20" s="10" t="n">
        <x:v>12.5</x:v>
      </x:c>
      <x:c r="I20" t="n">
        <x:v>14</x:v>
      </x:c>
      <x:c r="J20" t="n">
        <x:v>15</x:v>
      </x:c>
      <x:c r="K20" s="12" t="n">
        <x:f>IF(J20=0,0,E20/(J20/30))</x:f>
        <x:v>252</x:v>
      </x:c>
      <x:c r="L20" s="10" t="n">
        <x:f>E20*H20</x:f>
        <x:v>1575</x:v>
      </x:c>
      <x:c r="M20" t="str">
        <x:f>IF(E20&lt;=G20,"Critical",IF(E20&lt;=F20,"Reorder","Healthy"))</x:f>
        <x:v>Healthy</x:v>
      </x:c>
    </x:row>
    <x:row r="21">
      <x:c r="A21" t="str">
        <x:v>SKU-020</x:v>
      </x:c>
      <x:c r="B21" t="str">
        <x:v>Portfolio Item 20</x:v>
      </x:c>
      <x:c r="C21" t="str">
        <x:v>Office</x:v>
      </x:c>
      <x:c r="D21" t="str">
        <x:v>Supplier E</x:v>
      </x:c>
      <x:c r="E21" t="n">
        <x:v>24</x:v>
      </x:c>
      <x:c r="F21" t="n">
        <x:v>40</x:v>
      </x:c>
      <x:c r="G21" t="n">
        <x:v>30</x:v>
      </x:c>
      <x:c r="H21" s="10" t="n">
        <x:v>25</x:v>
      </x:c>
      <x:c r="I21" t="n">
        <x:v>21</x:v>
      </x:c>
      <x:c r="J21" t="n">
        <x:v>25</x:v>
      </x:c>
      <x:c r="K21" s="12" t="n">
        <x:f>IF(J21=0,0,E21/(J21/30))</x:f>
        <x:v>28.799999999999997</x:v>
      </x:c>
      <x:c r="L21" s="10" t="n">
        <x:f>E21*H21</x:f>
        <x:v>600</x:v>
      </x:c>
      <x:c r="M21" t="str">
        <x:f>IF(E21&lt;=G21,"Critical",IF(E21&lt;=F21,"Reorder","Healthy"))</x:f>
        <x:v>Critical</x:v>
      </x:c>
    </x:row>
    <x:row r="22">
      <x:c r="A22" t="str">
        <x:v>SKU-021</x:v>
      </x:c>
      <x:c r="B22" t="str">
        <x:v>Portfolio Item 21</x:v>
      </x:c>
      <x:c r="C22" t="str">
        <x:v>Electronics</x:v>
      </x:c>
      <x:c r="D22" t="str">
        <x:v>Supplier A</x:v>
      </x:c>
      <x:c r="E22" t="n">
        <x:v>45</x:v>
      </x:c>
      <x:c r="F22" t="n">
        <x:v>20</x:v>
      </x:c>
      <x:c r="G22" t="n">
        <x:v>10</x:v>
      </x:c>
      <x:c r="H22" s="10" t="n">
        <x:v>7.75</x:v>
      </x:c>
      <x:c r="I22" t="n">
        <x:v>5</x:v>
      </x:c>
      <x:c r="J22" t="n">
        <x:v>40</x:v>
      </x:c>
      <x:c r="K22" s="12" t="n">
        <x:f>IF(J22=0,0,E22/(J22/30))</x:f>
        <x:v>33.75</x:v>
      </x:c>
      <x:c r="L22" s="10" t="n">
        <x:f>E22*H22</x:f>
        <x:v>348.75</x:v>
      </x:c>
      <x:c r="M22" t="str">
        <x:f>IF(E22&lt;=G22,"Critical",IF(E22&lt;=F22,"Reorder","Healthy"))</x:f>
        <x:v>Healthy</x:v>
      </x:c>
    </x:row>
    <x:row r="23">
      <x:c r="A23" t="str">
        <x:v>SKU-022</x:v>
      </x:c>
      <x:c r="B23" t="str">
        <x:v>Portfolio Item 22</x:v>
      </x:c>
      <x:c r="C23" t="str">
        <x:v>Consumables</x:v>
      </x:c>
      <x:c r="D23" t="str">
        <x:v>Supplier B</x:v>
      </x:c>
      <x:c r="E23" t="n">
        <x:v>11</x:v>
      </x:c>
      <x:c r="F23" t="n">
        <x:v>25</x:v>
      </x:c>
      <x:c r="G23" t="n">
        <x:v>15</x:v>
      </x:c>
      <x:c r="H23" s="10" t="n">
        <x:v>45</x:v>
      </x:c>
      <x:c r="I23" t="n">
        <x:v>7</x:v>
      </x:c>
      <x:c r="J23" t="n">
        <x:v>55</x:v>
      </x:c>
      <x:c r="K23" s="12" t="n">
        <x:f>IF(J23=0,0,E23/(J23/30))</x:f>
        <x:v>6</x:v>
      </x:c>
      <x:c r="L23" s="10" t="n">
        <x:f>E23*H23</x:f>
        <x:v>495</x:v>
      </x:c>
      <x:c r="M23" t="str">
        <x:f>IF(E23&lt;=G23,"Critical",IF(E23&lt;=F23,"Reorder","Healthy"))</x:f>
        <x:v>Critical</x:v>
      </x:c>
    </x:row>
    <x:row r="24">
      <x:c r="A24" t="str">
        <x:v>SKU-023</x:v>
      </x:c>
      <x:c r="B24" t="str">
        <x:v>Portfolio Item 23</x:v>
      </x:c>
      <x:c r="C24" t="str">
        <x:v>Packaging</x:v>
      </x:c>
      <x:c r="D24" t="str">
        <x:v>Supplier C</x:v>
      </x:c>
      <x:c r="E24" t="n">
        <x:v>24</x:v>
      </x:c>
      <x:c r="F24" t="n">
        <x:v>30</x:v>
      </x:c>
      <x:c r="G24" t="n">
        <x:v>20</x:v>
      </x:c>
      <x:c r="H24" s="10" t="n">
        <x:v>3.5</x:v>
      </x:c>
      <x:c r="I24" t="n">
        <x:v>10</x:v>
      </x:c>
      <x:c r="J24" t="n">
        <x:v>80</x:v>
      </x:c>
      <x:c r="K24" s="12" t="n">
        <x:f>IF(J24=0,0,E24/(J24/30))</x:f>
        <x:v>9</x:v>
      </x:c>
      <x:c r="L24" s="10" t="n">
        <x:f>E24*H24</x:f>
        <x:v>84</x:v>
      </x:c>
      <x:c r="M24" t="str">
        <x:f>IF(E24&lt;=G24,"Critical",IF(E24&lt;=F24,"Reorder","Healthy"))</x:f>
        <x:v>Reorder</x:v>
      </x:c>
    </x:row>
    <x:row r="25">
      <x:c r="A25" t="str">
        <x:v>SKU-024</x:v>
      </x:c>
      <x:c r="B25" t="str">
        <x:v>Portfolio Item 24</x:v>
      </x:c>
      <x:c r="C25" t="str">
        <x:v>Tools</x:v>
      </x:c>
      <x:c r="D25" t="str">
        <x:v>Supplier D</x:v>
      </x:c>
      <x:c r="E25" t="n">
        <x:v>44</x:v>
      </x:c>
      <x:c r="F25" t="n">
        <x:v>35</x:v>
      </x:c>
      <x:c r="G25" t="n">
        <x:v>25</x:v>
      </x:c>
      <x:c r="H25" s="10" t="n">
        <x:v>18</x:v>
      </x:c>
      <x:c r="I25" t="n">
        <x:v>14</x:v>
      </x:c>
      <x:c r="J25" t="n">
        <x:v>20</x:v>
      </x:c>
      <x:c r="K25" s="12" t="n">
        <x:f>IF(J25=0,0,E25/(J25/30))</x:f>
        <x:v>66</x:v>
      </x:c>
      <x:c r="L25" s="10" t="n">
        <x:f>E25*H25</x:f>
        <x:v>792</x:v>
      </x:c>
      <x:c r="M25" t="str">
        <x:f>IF(E25&lt;=G25,"Critical",IF(E25&lt;=F25,"Reorder","Healthy"))</x:f>
        <x:v>Healthy</x:v>
      </x:c>
    </x:row>
    <x:row r="26">
      <x:c r="A26" t="str">
        <x:v>SKU-025</x:v>
      </x:c>
      <x:c r="B26" t="str">
        <x:v>Portfolio Item 25</x:v>
      </x:c>
      <x:c r="C26" t="str">
        <x:v>Office</x:v>
      </x:c>
      <x:c r="D26" t="str">
        <x:v>Supplier E</x:v>
      </x:c>
      <x:c r="E26" t="n">
        <x:v>60</x:v>
      </x:c>
      <x:c r="F26" t="n">
        <x:v>40</x:v>
      </x:c>
      <x:c r="G26" t="n">
        <x:v>30</x:v>
      </x:c>
      <x:c r="H26" s="10" t="n">
        <x:v>12.5</x:v>
      </x:c>
      <x:c r="I26" t="n">
        <x:v>21</x:v>
      </x:c>
      <x:c r="J26" t="n">
        <x:v>15</x:v>
      </x:c>
      <x:c r="K26" s="12" t="n">
        <x:f>IF(J26=0,0,E26/(J26/30))</x:f>
        <x:v>120</x:v>
      </x:c>
      <x:c r="L26" s="10" t="n">
        <x:f>E26*H26</x:f>
        <x:v>750</x:v>
      </x:c>
      <x:c r="M26" t="str">
        <x:f>IF(E26&lt;=G26,"Critical",IF(E26&lt;=F26,"Reorder","Healthy"))</x:f>
        <x:v>Healthy</x:v>
      </x:c>
    </x:row>
    <x:row r="27">
      <x:c r="A27" t="str">
        <x:v>SKU-026</x:v>
      </x:c>
      <x:c r="B27" t="str">
        <x:v>Portfolio Item 26</x:v>
      </x:c>
      <x:c r="C27" t="str">
        <x:v>Electronics</x:v>
      </x:c>
      <x:c r="D27" t="str">
        <x:v>Supplier A</x:v>
      </x:c>
      <x:c r="E27" t="n">
        <x:v>123</x:v>
      </x:c>
      <x:c r="F27" t="n">
        <x:v>20</x:v>
      </x:c>
      <x:c r="G27" t="n">
        <x:v>10</x:v>
      </x:c>
      <x:c r="H27" s="10" t="n">
        <x:v>25</x:v>
      </x:c>
      <x:c r="I27" t="n">
        <x:v>5</x:v>
      </x:c>
      <x:c r="J27" t="n">
        <x:v>25</x:v>
      </x:c>
      <x:c r="K27" s="12" t="n">
        <x:f>IF(J27=0,0,E27/(J27/30))</x:f>
        <x:v>147.6</x:v>
      </x:c>
      <x:c r="L27" s="10" t="n">
        <x:f>E27*H27</x:f>
        <x:v>3075</x:v>
      </x:c>
      <x:c r="M27" t="str">
        <x:f>IF(E27&lt;=G27,"Critical",IF(E27&lt;=F27,"Reorder","Healthy"))</x:f>
        <x:v>Healthy</x:v>
      </x:c>
    </x:row>
    <x:row r="28">
      <x:c r="A28" t="str">
        <x:v>SKU-027</x:v>
      </x:c>
      <x:c r="B28" t="str">
        <x:v>Portfolio Item 27</x:v>
      </x:c>
      <x:c r="C28" t="str">
        <x:v>Consumables</x:v>
      </x:c>
      <x:c r="D28" t="str">
        <x:v>Supplier B</x:v>
      </x:c>
      <x:c r="E28" t="n">
        <x:v>21</x:v>
      </x:c>
      <x:c r="F28" t="n">
        <x:v>25</x:v>
      </x:c>
      <x:c r="G28" t="n">
        <x:v>15</x:v>
      </x:c>
      <x:c r="H28" s="10" t="n">
        <x:v>7.75</x:v>
      </x:c>
      <x:c r="I28" t="n">
        <x:v>7</x:v>
      </x:c>
      <x:c r="J28" t="n">
        <x:v>40</x:v>
      </x:c>
      <x:c r="K28" s="12" t="n">
        <x:f>IF(J28=0,0,E28/(J28/30))</x:f>
        <x:v>15.75</x:v>
      </x:c>
      <x:c r="L28" s="10" t="n">
        <x:f>E28*H28</x:f>
        <x:v>162.75</x:v>
      </x:c>
      <x:c r="M28" t="str">
        <x:f>IF(E28&lt;=G28,"Critical",IF(E28&lt;=F28,"Reorder","Healthy"))</x:f>
        <x:v>Reorder</x:v>
      </x:c>
    </x:row>
    <x:row r="29">
      <x:c r="A29" t="str">
        <x:v>SKU-028</x:v>
      </x:c>
      <x:c r="B29" t="str">
        <x:v>Portfolio Item 28</x:v>
      </x:c>
      <x:c r="C29" t="str">
        <x:v>Packaging</x:v>
      </x:c>
      <x:c r="D29" t="str">
        <x:v>Supplier C</x:v>
      </x:c>
      <x:c r="E29" t="n">
        <x:v>54</x:v>
      </x:c>
      <x:c r="F29" t="n">
        <x:v>30</x:v>
      </x:c>
      <x:c r="G29" t="n">
        <x:v>20</x:v>
      </x:c>
      <x:c r="H29" s="10" t="n">
        <x:v>45</x:v>
      </x:c>
      <x:c r="I29" t="n">
        <x:v>10</x:v>
      </x:c>
      <x:c r="J29" t="n">
        <x:v>55</x:v>
      </x:c>
      <x:c r="K29" s="12" t="n">
        <x:f>IF(J29=0,0,E29/(J29/30))</x:f>
        <x:v>29.454545454545457</x:v>
      </x:c>
      <x:c r="L29" s="10" t="n">
        <x:f>E29*H29</x:f>
        <x:v>2430</x:v>
      </x:c>
      <x:c r="M29" t="str">
        <x:f>IF(E29&lt;=G29,"Critical",IF(E29&lt;=F29,"Reorder","Healthy"))</x:f>
        <x:v>Healthy</x:v>
      </x:c>
    </x:row>
    <x:row r="30">
      <x:c r="A30" t="str">
        <x:v>SKU-029</x:v>
      </x:c>
      <x:c r="B30" t="str">
        <x:v>Portfolio Item 29</x:v>
      </x:c>
      <x:c r="C30" t="str">
        <x:v>Tools</x:v>
      </x:c>
      <x:c r="D30" t="str">
        <x:v>Supplier D</x:v>
      </x:c>
      <x:c r="E30" t="n">
        <x:v>8</x:v>
      </x:c>
      <x:c r="F30" t="n">
        <x:v>35</x:v>
      </x:c>
      <x:c r="G30" t="n">
        <x:v>25</x:v>
      </x:c>
      <x:c r="H30" s="10" t="n">
        <x:v>3.5</x:v>
      </x:c>
      <x:c r="I30" t="n">
        <x:v>14</x:v>
      </x:c>
      <x:c r="J30" t="n">
        <x:v>80</x:v>
      </x:c>
      <x:c r="K30" s="12" t="n">
        <x:f>IF(J30=0,0,E30/(J30/30))</x:f>
        <x:v>3</x:v>
      </x:c>
      <x:c r="L30" s="10" t="n">
        <x:f>E30*H30</x:f>
        <x:v>28</x:v>
      </x:c>
      <x:c r="M30" t="str">
        <x:f>IF(E30&lt;=G30,"Critical",IF(E30&lt;=F30,"Reorder","Healthy"))</x:f>
        <x:v>Critical</x:v>
      </x:c>
    </x:row>
    <x:row r="31">
      <x:c r="A31" t="str">
        <x:v>SKU-030</x:v>
      </x:c>
      <x:c r="B31" t="str">
        <x:v>Portfolio Item 30</x:v>
      </x:c>
      <x:c r="C31" t="str">
        <x:v>Office</x:v>
      </x:c>
      <x:c r="D31" t="str">
        <x:v>Supplier E</x:v>
      </x:c>
      <x:c r="E31" t="n">
        <x:v>21</x:v>
      </x:c>
      <x:c r="F31" t="n">
        <x:v>40</x:v>
      </x:c>
      <x:c r="G31" t="n">
        <x:v>30</x:v>
      </x:c>
      <x:c r="H31" s="10" t="n">
        <x:v>18</x:v>
      </x:c>
      <x:c r="I31" t="n">
        <x:v>21</x:v>
      </x:c>
      <x:c r="J31" t="n">
        <x:v>20</x:v>
      </x:c>
      <x:c r="K31" s="12" t="n">
        <x:f>IF(J31=0,0,E31/(J31/30))</x:f>
        <x:v>31.5</x:v>
      </x:c>
      <x:c r="L31" s="10" t="n">
        <x:f>E31*H31</x:f>
        <x:v>378</x:v>
      </x:c>
      <x:c r="M31" t="str">
        <x:f>IF(E31&lt;=G31,"Critical",IF(E31&lt;=F31,"Reorder","Healthy"))</x:f>
        <x:v>Critical</x:v>
      </x:c>
    </x:row>
    <x:row r="32">
      <x:c r="A32" t="str">
        <x:v>SKU-031</x:v>
      </x:c>
      <x:c r="B32" t="str">
        <x:v>Portfolio Item 31</x:v>
      </x:c>
      <x:c r="C32" t="str">
        <x:v>Electronics</x:v>
      </x:c>
      <x:c r="D32" t="str">
        <x:v>Supplier A</x:v>
      </x:c>
      <x:c r="E32" t="n">
        <x:v>41</x:v>
      </x:c>
      <x:c r="F32" t="n">
        <x:v>20</x:v>
      </x:c>
      <x:c r="G32" t="n">
        <x:v>10</x:v>
      </x:c>
      <x:c r="H32" s="10" t="n">
        <x:v>12.5</x:v>
      </x:c>
      <x:c r="I32" t="n">
        <x:v>5</x:v>
      </x:c>
      <x:c r="J32" t="n">
        <x:v>15</x:v>
      </x:c>
      <x:c r="K32" s="12" t="n">
        <x:f>IF(J32=0,0,E32/(J32/30))</x:f>
        <x:v>82</x:v>
      </x:c>
      <x:c r="L32" s="10" t="n">
        <x:f>E32*H32</x:f>
        <x:v>512.5</x:v>
      </x:c>
      <x:c r="M32" t="str">
        <x:f>IF(E32&lt;=G32,"Critical",IF(E32&lt;=F32,"Reorder","Healthy"))</x:f>
        <x:v>Healthy</x:v>
      </x:c>
    </x:row>
    <x:row r="33">
      <x:c r="A33" t="str">
        <x:v>SKU-032</x:v>
      </x:c>
      <x:c r="B33" t="str">
        <x:v>Portfolio Item 32</x:v>
      </x:c>
      <x:c r="C33" t="str">
        <x:v>Consumables</x:v>
      </x:c>
      <x:c r="D33" t="str">
        <x:v>Supplier B</x:v>
      </x:c>
      <x:c r="E33" t="n">
        <x:v>69</x:v>
      </x:c>
      <x:c r="F33" t="n">
        <x:v>25</x:v>
      </x:c>
      <x:c r="G33" t="n">
        <x:v>15</x:v>
      </x:c>
      <x:c r="H33" s="10" t="n">
        <x:v>25</x:v>
      </x:c>
      <x:c r="I33" t="n">
        <x:v>7</x:v>
      </x:c>
      <x:c r="J33" t="n">
        <x:v>25</x:v>
      </x:c>
      <x:c r="K33" s="12" t="n">
        <x:f>IF(J33=0,0,E33/(J33/30))</x:f>
        <x:v>82.8</x:v>
      </x:c>
      <x:c r="L33" s="10" t="n">
        <x:f>E33*H33</x:f>
        <x:v>1725</x:v>
      </x:c>
      <x:c r="M33" t="str">
        <x:f>IF(E33&lt;=G33,"Critical",IF(E33&lt;=F33,"Reorder","Healthy"))</x:f>
        <x:v>Healthy</x:v>
      </x:c>
    </x:row>
    <x:row r="34">
      <x:c r="A34" t="str">
        <x:v>SKU-033</x:v>
      </x:c>
      <x:c r="B34" t="str">
        <x:v>Portfolio Item 33</x:v>
      </x:c>
      <x:c r="C34" t="str">
        <x:v>Packaging</x:v>
      </x:c>
      <x:c r="D34" t="str">
        <x:v>Supplier C</x:v>
      </x:c>
      <x:c r="E34" t="n">
        <x:v>120</x:v>
      </x:c>
      <x:c r="F34" t="n">
        <x:v>30</x:v>
      </x:c>
      <x:c r="G34" t="n">
        <x:v>20</x:v>
      </x:c>
      <x:c r="H34" s="10" t="n">
        <x:v>7.75</x:v>
      </x:c>
      <x:c r="I34" t="n">
        <x:v>10</x:v>
      </x:c>
      <x:c r="J34" t="n">
        <x:v>40</x:v>
      </x:c>
      <x:c r="K34" s="12" t="n">
        <x:f>IF(J34=0,0,E34/(J34/30))</x:f>
        <x:v>90</x:v>
      </x:c>
      <x:c r="L34" s="10" t="n">
        <x:f>E34*H34</x:f>
        <x:v>930</x:v>
      </x:c>
      <x:c r="M34" t="str">
        <x:f>IF(E34&lt;=G34,"Critical",IF(E34&lt;=F34,"Reorder","Healthy"))</x:f>
        <x:v>Healthy</x:v>
      </x:c>
    </x:row>
    <x:row r="35">
      <x:c r="A35" t="str">
        <x:v>SKU-034</x:v>
      </x:c>
      <x:c r="B35" t="str">
        <x:v>Portfolio Item 34</x:v>
      </x:c>
      <x:c r="C35" t="str">
        <x:v>Tools</x:v>
      </x:c>
      <x:c r="D35" t="str">
        <x:v>Supplier D</x:v>
      </x:c>
      <x:c r="E35" t="n">
        <x:v>18</x:v>
      </x:c>
      <x:c r="F35" t="n">
        <x:v>35</x:v>
      </x:c>
      <x:c r="G35" t="n">
        <x:v>25</x:v>
      </x:c>
      <x:c r="H35" s="10" t="n">
        <x:v>45</x:v>
      </x:c>
      <x:c r="I35" t="n">
        <x:v>14</x:v>
      </x:c>
      <x:c r="J35" t="n">
        <x:v>55</x:v>
      </x:c>
      <x:c r="K35" s="12" t="n">
        <x:f>IF(J35=0,0,E35/(J35/30))</x:f>
        <x:v>9.818181818181818</x:v>
      </x:c>
      <x:c r="L35" s="10" t="n">
        <x:f>E35*H35</x:f>
        <x:v>810</x:v>
      </x:c>
      <x:c r="M35" t="str">
        <x:f>IF(E35&lt;=G35,"Critical",IF(E35&lt;=F35,"Reorder","Healthy"))</x:f>
        <x:v>Critical</x:v>
      </x:c>
    </x:row>
    <x:row r="36">
      <x:c r="A36" t="str">
        <x:v>SKU-035</x:v>
      </x:c>
      <x:c r="B36" t="str">
        <x:v>Portfolio Item 35</x:v>
      </x:c>
      <x:c r="C36" t="str">
        <x:v>Office</x:v>
      </x:c>
      <x:c r="D36" t="str">
        <x:v>Supplier E</x:v>
      </x:c>
      <x:c r="E36" t="n">
        <x:v>51</x:v>
      </x:c>
      <x:c r="F36" t="n">
        <x:v>40</x:v>
      </x:c>
      <x:c r="G36" t="n">
        <x:v>30</x:v>
      </x:c>
      <x:c r="H36" s="10" t="n">
        <x:v>3.5</x:v>
      </x:c>
      <x:c r="I36" t="n">
        <x:v>21</x:v>
      </x:c>
      <x:c r="J36" t="n">
        <x:v>80</x:v>
      </x:c>
      <x:c r="K36" s="12" t="n">
        <x:f>IF(J36=0,0,E36/(J36/30))</x:f>
        <x:v>19.125</x:v>
      </x:c>
      <x:c r="L36" s="10" t="n">
        <x:f>E36*H36</x:f>
        <x:v>178.5</x:v>
      </x:c>
      <x:c r="M36" t="str">
        <x:f>IF(E36&lt;=G36,"Critical",IF(E36&lt;=F36,"Reorder","Healthy"))</x:f>
        <x:v>Healthy</x:v>
      </x:c>
    </x:row>
    <x:row r="37">
      <x:c r="A37" t="str">
        <x:v>SKU-036</x:v>
      </x:c>
      <x:c r="B37" t="str">
        <x:v>Portfolio Item 36</x:v>
      </x:c>
      <x:c r="C37" t="str">
        <x:v>Electronics</x:v>
      </x:c>
      <x:c r="D37" t="str">
        <x:v>Supplier A</x:v>
      </x:c>
      <x:c r="E37" t="n">
        <x:v>17</x:v>
      </x:c>
      <x:c r="F37" t="n">
        <x:v>20</x:v>
      </x:c>
      <x:c r="G37" t="n">
        <x:v>10</x:v>
      </x:c>
      <x:c r="H37" s="10" t="n">
        <x:v>18</x:v>
      </x:c>
      <x:c r="I37" t="n">
        <x:v>5</x:v>
      </x:c>
      <x:c r="J37" t="n">
        <x:v>20</x:v>
      </x:c>
      <x:c r="K37" s="12" t="n">
        <x:f>IF(J37=0,0,E37/(J37/30))</x:f>
        <x:v>25.5</x:v>
      </x:c>
      <x:c r="L37" s="10" t="n">
        <x:f>E37*H37</x:f>
        <x:v>306</x:v>
      </x:c>
      <x:c r="M37" t="str">
        <x:f>IF(E37&lt;=G37,"Critical",IF(E37&lt;=F37,"Reorder","Healthy"))</x:f>
        <x:v>Reorder</x:v>
      </x:c>
    </x:row>
    <x:row r="38">
      <x:c r="A38" t="str">
        <x:v>SKU-037</x:v>
      </x:c>
      <x:c r="B38" t="str">
        <x:v>Portfolio Item 37</x:v>
      </x:c>
      <x:c r="C38" t="str">
        <x:v>Consumables</x:v>
      </x:c>
      <x:c r="D38" t="str">
        <x:v>Supplier B</x:v>
      </x:c>
      <x:c r="E38" t="n">
        <x:v>18</x:v>
      </x:c>
      <x:c r="F38" t="n">
        <x:v>25</x:v>
      </x:c>
      <x:c r="G38" t="n">
        <x:v>15</x:v>
      </x:c>
      <x:c r="H38" s="10" t="n">
        <x:v>12.5</x:v>
      </x:c>
      <x:c r="I38" t="n">
        <x:v>7</x:v>
      </x:c>
      <x:c r="J38" t="n">
        <x:v>15</x:v>
      </x:c>
      <x:c r="K38" s="12" t="n">
        <x:f>IF(J38=0,0,E38/(J38/30))</x:f>
        <x:v>36</x:v>
      </x:c>
      <x:c r="L38" s="10" t="n">
        <x:f>E38*H38</x:f>
        <x:v>225</x:v>
      </x:c>
      <x:c r="M38" t="str">
        <x:f>IF(E38&lt;=G38,"Critical",IF(E38&lt;=F38,"Reorder","Healthy"))</x:f>
        <x:v>Reorder</x:v>
      </x:c>
    </x:row>
    <x:row r="39">
      <x:c r="A39" t="str">
        <x:v>SKU-038</x:v>
      </x:c>
      <x:c r="B39" t="str">
        <x:v>Portfolio Item 38</x:v>
      </x:c>
      <x:c r="C39" t="str">
        <x:v>Packaging</x:v>
      </x:c>
      <x:c r="D39" t="str">
        <x:v>Supplier C</x:v>
      </x:c>
      <x:c r="E39" t="n">
        <x:v>38</x:v>
      </x:c>
      <x:c r="F39" t="n">
        <x:v>30</x:v>
      </x:c>
      <x:c r="G39" t="n">
        <x:v>20</x:v>
      </x:c>
      <x:c r="H39" s="10" t="n">
        <x:v>25</x:v>
      </x:c>
      <x:c r="I39" t="n">
        <x:v>10</x:v>
      </x:c>
      <x:c r="J39" t="n">
        <x:v>25</x:v>
      </x:c>
      <x:c r="K39" s="12" t="n">
        <x:f>IF(J39=0,0,E39/(J39/30))</x:f>
        <x:v>45.6</x:v>
      </x:c>
      <x:c r="L39" s="10" t="n">
        <x:f>E39*H39</x:f>
        <x:v>950</x:v>
      </x:c>
      <x:c r="M39" t="str">
        <x:f>IF(E39&lt;=G39,"Critical",IF(E39&lt;=F39,"Reorder","Healthy"))</x:f>
        <x:v>Healthy</x:v>
      </x:c>
    </x:row>
    <x:row r="40">
      <x:c r="A40" t="str">
        <x:v>SKU-039</x:v>
      </x:c>
      <x:c r="B40" t="str">
        <x:v>Portfolio Item 39</x:v>
      </x:c>
      <x:c r="C40" t="str">
        <x:v>Tools</x:v>
      </x:c>
      <x:c r="D40" t="str">
        <x:v>Supplier D</x:v>
      </x:c>
      <x:c r="E40" t="n">
        <x:v>66</x:v>
      </x:c>
      <x:c r="F40" t="n">
        <x:v>35</x:v>
      </x:c>
      <x:c r="G40" t="n">
        <x:v>25</x:v>
      </x:c>
      <x:c r="H40" s="10" t="n">
        <x:v>7.75</x:v>
      </x:c>
      <x:c r="I40" t="n">
        <x:v>14</x:v>
      </x:c>
      <x:c r="J40" t="n">
        <x:v>40</x:v>
      </x:c>
      <x:c r="K40" s="12" t="n">
        <x:f>IF(J40=0,0,E40/(J40/30))</x:f>
        <x:v>49.5</x:v>
      </x:c>
      <x:c r="L40" s="10" t="n">
        <x:f>E40*H40</x:f>
        <x:v>511.5</x:v>
      </x:c>
      <x:c r="M40" t="str">
        <x:f>IF(E40&lt;=G40,"Critical",IF(E40&lt;=F40,"Reorder","Healthy"))</x:f>
        <x:v>Healthy</x:v>
      </x:c>
    </x:row>
    <x:row r="41">
      <x:c r="A41" t="str">
        <x:v>SKU-040</x:v>
      </x:c>
      <x:c r="B41" t="str">
        <x:v>Portfolio Item 40</x:v>
      </x:c>
      <x:c r="C41" t="str">
        <x:v>Office</x:v>
      </x:c>
      <x:c r="D41" t="str">
        <x:v>Supplier E</x:v>
      </x:c>
      <x:c r="E41" t="n">
        <x:v>129</x:v>
      </x:c>
      <x:c r="F41" t="n">
        <x:v>40</x:v>
      </x:c>
      <x:c r="G41" t="n">
        <x:v>30</x:v>
      </x:c>
      <x:c r="H41" s="10" t="n">
        <x:v>45</x:v>
      </x:c>
      <x:c r="I41" t="n">
        <x:v>21</x:v>
      </x:c>
      <x:c r="J41" t="n">
        <x:v>55</x:v>
      </x:c>
      <x:c r="K41" s="12" t="n">
        <x:f>IF(J41=0,0,E41/(J41/30))</x:f>
        <x:v>70.36363636363636</x:v>
      </x:c>
      <x:c r="L41" s="10" t="n">
        <x:f>E41*H41</x:f>
        <x:v>5805</x:v>
      </x:c>
      <x:c r="M41" t="str">
        <x:f>IF(E41&lt;=G41,"Critical",IF(E41&lt;=F41,"Reorder","Healthy"))</x:f>
        <x:v>Healthy</x:v>
      </x:c>
    </x:row>
    <x:row r="42">
      <x:c r="A42" t="str">
        <x:v>SKU-041</x:v>
      </x:c>
      <x:c r="B42" t="str">
        <x:v>Portfolio Item 41</x:v>
      </x:c>
      <x:c r="C42" t="str">
        <x:v>Electronics</x:v>
      </x:c>
      <x:c r="D42" t="str">
        <x:v>Supplier A</x:v>
      </x:c>
      <x:c r="E42" t="n">
        <x:v>15</x:v>
      </x:c>
      <x:c r="F42" t="n">
        <x:v>20</x:v>
      </x:c>
      <x:c r="G42" t="n">
        <x:v>10</x:v>
      </x:c>
      <x:c r="H42" s="10" t="n">
        <x:v>3.5</x:v>
      </x:c>
      <x:c r="I42" t="n">
        <x:v>5</x:v>
      </x:c>
      <x:c r="J42" t="n">
        <x:v>80</x:v>
      </x:c>
      <x:c r="K42" s="12" t="n">
        <x:f>IF(J42=0,0,E42/(J42/30))</x:f>
        <x:v>5.625</x:v>
      </x:c>
      <x:c r="L42" s="10" t="n">
        <x:f>E42*H42</x:f>
        <x:v>52.5</x:v>
      </x:c>
      <x:c r="M42" t="str">
        <x:f>IF(E42&lt;=G42,"Critical",IF(E42&lt;=F42,"Reorder","Healthy"))</x:f>
        <x:v>Reorder</x:v>
      </x:c>
    </x:row>
    <x:row r="43">
      <x:c r="A43" t="str">
        <x:v>SKU-042</x:v>
      </x:c>
      <x:c r="B43" t="str">
        <x:v>Portfolio Item 42</x:v>
      </x:c>
      <x:c r="C43" t="str">
        <x:v>Consumables</x:v>
      </x:c>
      <x:c r="D43" t="str">
        <x:v>Supplier B</x:v>
      </x:c>
      <x:c r="E43" t="n">
        <x:v>48</x:v>
      </x:c>
      <x:c r="F43" t="n">
        <x:v>25</x:v>
      </x:c>
      <x:c r="G43" t="n">
        <x:v>15</x:v>
      </x:c>
      <x:c r="H43" s="10" t="n">
        <x:v>18</x:v>
      </x:c>
      <x:c r="I43" t="n">
        <x:v>7</x:v>
      </x:c>
      <x:c r="J43" t="n">
        <x:v>20</x:v>
      </x:c>
      <x:c r="K43" s="12" t="n">
        <x:f>IF(J43=0,0,E43/(J43/30))</x:f>
        <x:v>72</x:v>
      </x:c>
      <x:c r="L43" s="10" t="n">
        <x:f>E43*H43</x:f>
        <x:v>864</x:v>
      </x:c>
      <x:c r="M43" t="str">
        <x:f>IF(E43&lt;=G43,"Critical",IF(E43&lt;=F43,"Reorder","Healthy"))</x:f>
        <x:v>Healthy</x:v>
      </x:c>
    </x:row>
    <x:row r="44">
      <x:c r="A44" t="str">
        <x:v>SKU-043</x:v>
      </x:c>
      <x:c r="B44" t="str">
        <x:v>Portfolio Item 43</x:v>
      </x:c>
      <x:c r="C44" t="str">
        <x:v>Packaging</x:v>
      </x:c>
      <x:c r="D44" t="str">
        <x:v>Supplier C</x:v>
      </x:c>
      <x:c r="E44" t="n">
        <x:v>14</x:v>
      </x:c>
      <x:c r="F44" t="n">
        <x:v>30</x:v>
      </x:c>
      <x:c r="G44" t="n">
        <x:v>20</x:v>
      </x:c>
      <x:c r="H44" s="10" t="n">
        <x:v>12.5</x:v>
      </x:c>
      <x:c r="I44" t="n">
        <x:v>10</x:v>
      </x:c>
      <x:c r="J44" t="n">
        <x:v>15</x:v>
      </x:c>
      <x:c r="K44" s="12" t="n">
        <x:f>IF(J44=0,0,E44/(J44/30))</x:f>
        <x:v>28</x:v>
      </x:c>
      <x:c r="L44" s="10" t="n">
        <x:f>E44*H44</x:f>
        <x:v>175</x:v>
      </x:c>
      <x:c r="M44" t="str">
        <x:f>IF(E44&lt;=G44,"Critical",IF(E44&lt;=F44,"Reorder","Healthy"))</x:f>
        <x:v>Critical</x:v>
      </x:c>
    </x:row>
    <x:row r="45">
      <x:c r="A45" t="str">
        <x:v>SKU-044</x:v>
      </x:c>
      <x:c r="B45" t="str">
        <x:v>Portfolio Item 44</x:v>
      </x:c>
      <x:c r="C45" t="str">
        <x:v>Tools</x:v>
      </x:c>
      <x:c r="D45" t="str">
        <x:v>Supplier D</x:v>
      </x:c>
      <x:c r="E45" t="n">
        <x:v>27</x:v>
      </x:c>
      <x:c r="F45" t="n">
        <x:v>35</x:v>
      </x:c>
      <x:c r="G45" t="n">
        <x:v>25</x:v>
      </x:c>
      <x:c r="H45" s="10" t="n">
        <x:v>25</x:v>
      </x:c>
      <x:c r="I45" t="n">
        <x:v>14</x:v>
      </x:c>
      <x:c r="J45" t="n">
        <x:v>25</x:v>
      </x:c>
      <x:c r="K45" s="12" t="n">
        <x:f>IF(J45=0,0,E45/(J45/30))</x:f>
        <x:v>32.4</x:v>
      </x:c>
      <x:c r="L45" s="10" t="n">
        <x:f>E45*H45</x:f>
        <x:v>675</x:v>
      </x:c>
      <x:c r="M45" t="str">
        <x:f>IF(E45&lt;=G45,"Critical",IF(E45&lt;=F45,"Reorder","Healthy"))</x:f>
        <x:v>Reorder</x:v>
      </x:c>
    </x:row>
    <x:row r="46">
      <x:c r="A46" t="str">
        <x:v>SKU-045</x:v>
      </x:c>
      <x:c r="B46" t="str">
        <x:v>Portfolio Item 45</x:v>
      </x:c>
      <x:c r="C46" t="str">
        <x:v>Office</x:v>
      </x:c>
      <x:c r="D46" t="str">
        <x:v>Supplier E</x:v>
      </x:c>
      <x:c r="E46" t="n">
        <x:v>35</x:v>
      </x:c>
      <x:c r="F46" t="n">
        <x:v>40</x:v>
      </x:c>
      <x:c r="G46" t="n">
        <x:v>30</x:v>
      </x:c>
      <x:c r="H46" s="10" t="n">
        <x:v>7.75</x:v>
      </x:c>
      <x:c r="I46" t="n">
        <x:v>21</x:v>
      </x:c>
      <x:c r="J46" t="n">
        <x:v>40</x:v>
      </x:c>
      <x:c r="K46" s="12" t="n">
        <x:f>IF(J46=0,0,E46/(J46/30))</x:f>
        <x:v>26.25</x:v>
      </x:c>
      <x:c r="L46" s="10" t="n">
        <x:f>E46*H46</x:f>
        <x:v>271.25</x:v>
      </x:c>
      <x:c r="M46" t="str">
        <x:f>IF(E46&lt;=G46,"Critical",IF(E46&lt;=F46,"Reorder","Healthy"))</x:f>
        <x:v>Reorder</x:v>
      </x:c>
    </x:row>
    <x:row r="47">
      <x:c r="A47" t="str">
        <x:v>SKU-046</x:v>
      </x:c>
      <x:c r="B47" t="str">
        <x:v>Portfolio Item 46</x:v>
      </x:c>
      <x:c r="C47" t="str">
        <x:v>Electronics</x:v>
      </x:c>
      <x:c r="D47" t="str">
        <x:v>Supplier A</x:v>
      </x:c>
      <x:c r="E47" t="n">
        <x:v>63</x:v>
      </x:c>
      <x:c r="F47" t="n">
        <x:v>20</x:v>
      </x:c>
      <x:c r="G47" t="n">
        <x:v>10</x:v>
      </x:c>
      <x:c r="H47" s="10" t="n">
        <x:v>45</x:v>
      </x:c>
      <x:c r="I47" t="n">
        <x:v>5</x:v>
      </x:c>
      <x:c r="J47" t="n">
        <x:v>55</x:v>
      </x:c>
      <x:c r="K47" s="12" t="n">
        <x:f>IF(J47=0,0,E47/(J47/30))</x:f>
        <x:v>34.36363636363637</x:v>
      </x:c>
      <x:c r="L47" s="10" t="n">
        <x:f>E47*H47</x:f>
        <x:v>2835</x:v>
      </x:c>
      <x:c r="M47" t="str">
        <x:f>IF(E47&lt;=G47,"Critical",IF(E47&lt;=F47,"Reorder","Healthy"))</x:f>
        <x:v>Healthy</x:v>
      </x:c>
    </x:row>
    <x:row r="48">
      <x:c r="A48" t="str">
        <x:v>SKU-047</x:v>
      </x:c>
      <x:c r="B48" t="str">
        <x:v>Portfolio Item 47</x:v>
      </x:c>
      <x:c r="C48" t="str">
        <x:v>Consumables</x:v>
      </x:c>
      <x:c r="D48" t="str">
        <x:v>Supplier B</x:v>
      </x:c>
      <x:c r="E48" t="n">
        <x:v>126</x:v>
      </x:c>
      <x:c r="F48" t="n">
        <x:v>25</x:v>
      </x:c>
      <x:c r="G48" t="n">
        <x:v>15</x:v>
      </x:c>
      <x:c r="H48" s="10" t="n">
        <x:v>3.5</x:v>
      </x:c>
      <x:c r="I48" t="n">
        <x:v>7</x:v>
      </x:c>
      <x:c r="J48" t="n">
        <x:v>80</x:v>
      </x:c>
      <x:c r="K48" s="12" t="n">
        <x:f>IF(J48=0,0,E48/(J48/30))</x:f>
        <x:v>47.25</x:v>
      </x:c>
      <x:c r="L48" s="10" t="n">
        <x:f>E48*H48</x:f>
        <x:v>441</x:v>
      </x:c>
      <x:c r="M48" t="str">
        <x:f>IF(E48&lt;=G48,"Critical",IF(E48&lt;=F48,"Reorder","Healthy"))</x:f>
        <x:v>Healthy</x:v>
      </x:c>
    </x:row>
    <x:row r="49">
      <x:c r="A49" t="str">
        <x:v>SKU-048</x:v>
      </x:c>
      <x:c r="B49" t="str">
        <x:v>Portfolio Item 48</x:v>
      </x:c>
      <x:c r="C49" t="str">
        <x:v>Packaging</x:v>
      </x:c>
      <x:c r="D49" t="str">
        <x:v>Supplier C</x:v>
      </x:c>
      <x:c r="E49" t="n">
        <x:v>24</x:v>
      </x:c>
      <x:c r="F49" t="n">
        <x:v>30</x:v>
      </x:c>
      <x:c r="G49" t="n">
        <x:v>20</x:v>
      </x:c>
      <x:c r="H49" s="10" t="n">
        <x:v>18</x:v>
      </x:c>
      <x:c r="I49" t="n">
        <x:v>10</x:v>
      </x:c>
      <x:c r="J49" t="n">
        <x:v>20</x:v>
      </x:c>
      <x:c r="K49" s="12" t="n">
        <x:f>IF(J49=0,0,E49/(J49/30))</x:f>
        <x:v>36</x:v>
      </x:c>
      <x:c r="L49" s="10" t="n">
        <x:f>E49*H49</x:f>
        <x:v>432</x:v>
      </x:c>
      <x:c r="M49" t="str">
        <x:f>IF(E49&lt;=G49,"Critical",IF(E49&lt;=F49,"Reorder","Healthy"))</x:f>
        <x:v>Reorder</x:v>
      </x:c>
    </x:row>
    <x:row r="50">
      <x:c r="A50" t="str">
        <x:v>SKU-049</x:v>
      </x:c>
      <x:c r="B50" t="str">
        <x:v>Portfolio Item 49</x:v>
      </x:c>
      <x:c r="C50" t="str">
        <x:v>Tools</x:v>
      </x:c>
      <x:c r="D50" t="str">
        <x:v>Supplier D</x:v>
      </x:c>
      <x:c r="E50" t="n">
        <x:v>45</x:v>
      </x:c>
      <x:c r="F50" t="n">
        <x:v>35</x:v>
      </x:c>
      <x:c r="G50" t="n">
        <x:v>25</x:v>
      </x:c>
      <x:c r="H50" s="10" t="n">
        <x:v>12.5</x:v>
      </x:c>
      <x:c r="I50" t="n">
        <x:v>14</x:v>
      </x:c>
      <x:c r="J50" t="n">
        <x:v>15</x:v>
      </x:c>
      <x:c r="K50" s="12" t="n">
        <x:f>IF(J50=0,0,E50/(J50/30))</x:f>
        <x:v>90</x:v>
      </x:c>
      <x:c r="L50" s="10" t="n">
        <x:f>E50*H50</x:f>
        <x:v>562.5</x:v>
      </x:c>
      <x:c r="M50" t="str">
        <x:f>IF(E50&lt;=G50,"Critical",IF(E50&lt;=F50,"Reorder","Healthy"))</x:f>
        <x:v>Healthy</x:v>
      </x:c>
    </x:row>
    <x:row r="51">
      <x:c r="A51" t="str">
        <x:v>SKU-050</x:v>
      </x:c>
      <x:c r="B51" t="str">
        <x:v>Portfolio Item 50</x:v>
      </x:c>
      <x:c r="C51" t="str">
        <x:v>Office</x:v>
      </x:c>
      <x:c r="D51" t="str">
        <x:v>Supplier E</x:v>
      </x:c>
      <x:c r="E51" t="n">
        <x:v>11</x:v>
      </x:c>
      <x:c r="F51" t="n">
        <x:v>40</x:v>
      </x:c>
      <x:c r="G51" t="n">
        <x:v>30</x:v>
      </x:c>
      <x:c r="H51" s="10" t="n">
        <x:v>25</x:v>
      </x:c>
      <x:c r="I51" t="n">
        <x:v>21</x:v>
      </x:c>
      <x:c r="J51" t="n">
        <x:v>25</x:v>
      </x:c>
      <x:c r="K51" s="12" t="n">
        <x:f>IF(J51=0,0,E51/(J51/30))</x:f>
        <x:v>13.2</x:v>
      </x:c>
      <x:c r="L51" s="10" t="n">
        <x:f>E51*H51</x:f>
        <x:v>275</x:v>
      </x:c>
      <x:c r="M51" t="str">
        <x:f>IF(E51&lt;=G51,"Critical",IF(E51&lt;=F51,"Reorder","Healthy"))</x:f>
        <x:v>Critical</x:v>
      </x:c>
    </x:row>
  </x:sheetData>
  <x:conditionalFormatting sqref="M2:M51">
    <x:cfRule type="expression" dxfId="0" priority="1">
      <x:formula>M2="Critical"</x:formula>
    </x:cfRule>
    <x:cfRule type="expression" dxfId="1" priority="2">
      <x:formula>M2="Reorder"</x:formula>
    </x:cfRule>
    <x:cfRule type="expression" dxfId="2" priority="3">
      <x:formula>M2="Healthy"</x:formula>
    </x:cfRule>
  </x:conditionalFormatting>
  <x:dataValidations count="2">
    <x:dataValidation type="list" sqref="C2:C100">
      <x:formula1>Lists!$A$2:$A$6</x:formula1>
    </x:dataValidation>
    <x:dataValidation type="list" sqref="D2:D100">
      <x:formula1>Lists!$B$2:$B$6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bbb15df9de427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>
      <x:c r="A1" s="5" t="str">
        <x:v>Supplier</x:v>
      </x:c>
      <x:c r="B1" s="5" t="str">
        <x:v>SKUs</x:v>
      </x:c>
      <x:c r="C1" s="5" t="str">
        <x:v>Inventory Value</x:v>
      </x:c>
      <x:c r="D1" s="5" t="str">
        <x:v>Critical SKUs</x:v>
      </x:c>
      <x:c r="E1" s="5" t="str">
        <x:v>Reorder SKUs</x:v>
      </x:c>
      <x:c r="F1" s="5" t="str">
        <x:v>Avg Lead Time</x:v>
      </x:c>
    </x:row>
    <x:row r="2">
      <x:c r="A2" t="str">
        <x:v>Supplier A</x:v>
      </x:c>
      <x:c r="B2" t="n">
        <x:f>COUNTIF(Inventory!$D$2:$D$51,A2)</x:f>
        <x:v>10</x:v>
      </x:c>
      <x:c r="C2" s="10" t="n">
        <x:f>SUMIF(Inventory!$D$2:$D$51,A2,Inventory!$L$2:$L$51)</x:f>
        <x:v>8999.75</x:v>
      </x:c>
      <x:c r="D2" t="n">
        <x:f>COUNTIFS(Inventory!$D$2:$D$51,A2,Inventory!$M$2:$M$51,"Critical")</x:f>
        <x:v>1</x:v>
      </x:c>
      <x:c r="E2" t="n">
        <x:f>COUNTIFS(Inventory!$D$2:$D$51,A2,Inventory!$M$2:$M$51,"Reorder")</x:f>
        <x:v>3</x:v>
      </x:c>
      <x:c r="F2" s="12" t="n">
        <x:f>AVERAGEIF(Inventory!$D$2:$D$51,A2,Inventory!$I$2:$I$51)</x:f>
        <x:v>5</x:v>
      </x:c>
    </x:row>
    <x:row r="3">
      <x:c r="A3" t="str">
        <x:v>Supplier B</x:v>
      </x:c>
      <x:c r="B3" t="n">
        <x:f>COUNTIF(Inventory!$D$2:$D$51,A3)</x:f>
        <x:v>10</x:v>
      </x:c>
      <x:c r="C3" s="10" t="n">
        <x:f>SUMIF(Inventory!$D$2:$D$51,A3,Inventory!$L$2:$L$51)</x:f>
        <x:v>7519.75</x:v>
      </x:c>
      <x:c r="D3" t="n">
        <x:f>COUNTIFS(Inventory!$D$2:$D$51,A3,Inventory!$M$2:$M$51,"Critical")</x:f>
        <x:v>1</x:v>
      </x:c>
      <x:c r="E3" t="n">
        <x:f>COUNTIFS(Inventory!$D$2:$D$51,A3,Inventory!$M$2:$M$51,"Reorder")</x:f>
        <x:v>3</x:v>
      </x:c>
      <x:c r="F3" s="12" t="n">
        <x:f>AVERAGEIF(Inventory!$D$2:$D$51,A3,Inventory!$I$2:$I$51)</x:f>
        <x:v>7</x:v>
      </x:c>
    </x:row>
    <x:row r="4">
      <x:c r="A4" t="str">
        <x:v>Supplier C</x:v>
      </x:c>
      <x:c r="B4" t="n">
        <x:f>COUNTIF(Inventory!$D$2:$D$51,A4)</x:f>
        <x:v>10</x:v>
      </x:c>
      <x:c r="C4" s="10" t="n">
        <x:f>SUMIF(Inventory!$D$2:$D$51,A4,Inventory!$L$2:$L$51)</x:f>
        <x:v>7065.25</x:v>
      </x:c>
      <x:c r="D4" t="n">
        <x:f>COUNTIFS(Inventory!$D$2:$D$51,A4,Inventory!$M$2:$M$51,"Critical")</x:f>
        <x:v>3</x:v>
      </x:c>
      <x:c r="E4" t="n">
        <x:f>COUNTIFS(Inventory!$D$2:$D$51,A4,Inventory!$M$2:$M$51,"Reorder")</x:f>
        <x:v>2</x:v>
      </x:c>
      <x:c r="F4" s="12" t="n">
        <x:f>AVERAGEIF(Inventory!$D$2:$D$51,A4,Inventory!$I$2:$I$51)</x:f>
        <x:v>10</x:v>
      </x:c>
    </x:row>
    <x:row r="5">
      <x:c r="A5" t="str">
        <x:v>Supplier D</x:v>
      </x:c>
      <x:c r="B5" t="n">
        <x:f>COUNTIF(Inventory!$D$2:$D$51,A5)</x:f>
        <x:v>10</x:v>
      </x:c>
      <x:c r="C5" s="10" t="n">
        <x:f>SUMIF(Inventory!$D$2:$D$51,A5,Inventory!$L$2:$L$51)</x:f>
        <x:v>9398.5</x:v>
      </x:c>
      <x:c r="D5" t="n">
        <x:f>COUNTIFS(Inventory!$D$2:$D$51,A5,Inventory!$M$2:$M$51,"Critical")</x:f>
        <x:v>3</x:v>
      </x:c>
      <x:c r="E5" t="n">
        <x:f>COUNTIFS(Inventory!$D$2:$D$51,A5,Inventory!$M$2:$M$51,"Reorder")</x:f>
        <x:v>1</x:v>
      </x:c>
      <x:c r="F5" s="12" t="n">
        <x:f>AVERAGEIF(Inventory!$D$2:$D$51,A5,Inventory!$I$2:$I$51)</x:f>
        <x:v>14</x:v>
      </x:c>
    </x:row>
    <x:row r="6">
      <x:c r="A6" t="str">
        <x:v>Supplier E</x:v>
      </x:c>
      <x:c r="B6" t="n">
        <x:f>COUNTIF(Inventory!$D$2:$D$51,A6)</x:f>
        <x:v>10</x:v>
      </x:c>
      <x:c r="C6" s="10" t="n">
        <x:f>SUMIF(Inventory!$D$2:$D$51,A6,Inventory!$L$2:$L$51)</x:f>
        <x:v>10496.25</x:v>
      </x:c>
      <x:c r="D6" t="n">
        <x:f>COUNTIFS(Inventory!$D$2:$D$51,A6,Inventory!$M$2:$M$51,"Critical")</x:f>
        <x:v>4</x:v>
      </x:c>
      <x:c r="E6" t="n">
        <x:f>COUNTIFS(Inventory!$D$2:$D$51,A6,Inventory!$M$2:$M$51,"Reorder")</x:f>
        <x:v>2</x:v>
      </x:c>
      <x:c r="F6" s="12" t="n">
        <x:f>AVERAGEIF(Inventory!$D$2:$D$51,A6,Inventory!$I$2:$I$51)</x:f>
        <x:v>21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5" t="str">
        <x:v>Category</x:v>
      </x:c>
      <x:c r="B1" s="5" t="str">
        <x:v>Supplier</x:v>
      </x:c>
      <x:c r="C1" s="5" t="str">
        <x:v>Risk</x:v>
      </x:c>
    </x:row>
    <x:row r="2">
      <x:c r="A2" t="str">
        <x:v>Electronics</x:v>
      </x:c>
      <x:c r="B2" t="str">
        <x:v>Supplier A</x:v>
      </x:c>
      <x:c r="C2" t="str">
        <x:v>Critical</x:v>
      </x:c>
    </x:row>
    <x:row r="3">
      <x:c r="A3" t="str">
        <x:v>Consumables</x:v>
      </x:c>
      <x:c r="B3" t="str">
        <x:v>Supplier B</x:v>
      </x:c>
      <x:c r="C3" t="str">
        <x:v>Reorder</x:v>
      </x:c>
    </x:row>
    <x:row r="4">
      <x:c r="A4" t="str">
        <x:v>Packaging</x:v>
      </x:c>
      <x:c r="B4" t="str">
        <x:v>Supplier C</x:v>
      </x:c>
      <x:c r="C4" t="str">
        <x:v>Healthy</x:v>
      </x:c>
    </x:row>
    <x:row r="5">
      <x:c r="A5" t="str">
        <x:v>Tools</x:v>
      </x:c>
      <x:c r="B5" t="str">
        <x:v>Supplier D</x:v>
      </x:c>
      <x:c r="C5" t="str"/>
    </x:row>
    <x:row r="6">
      <x:c r="A6" t="str">
        <x:v>Office</x:v>
      </x:c>
      <x:c r="B6" t="str">
        <x:v>Supplier E</x:v>
      </x:c>
      <x:c r="C6" t="str"/>
    </x:row>
  </x:sheetData>
  <x:pageMargins left="0.7" right="0.7" top="0.75" bottom="0.75" header="0.3" footer="0.3"/>
</x:worksheet>
</file>