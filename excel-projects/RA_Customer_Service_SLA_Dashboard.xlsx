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5cb15710e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7503bd4c8394faf"/>
    <x:sheet xmlns:r="http://schemas.openxmlformats.org/officeDocument/2006/relationships" name="Tickets" sheetId="2" r:id="Rf989315c08ef497f"/>
    <x:sheet xmlns:r="http://schemas.openxmlformats.org/officeDocument/2006/relationships" name="Agents" sheetId="3" r:id="R25dafbceb89c434c"/>
    <x:sheet xmlns:r="http://schemas.openxmlformats.org/officeDocument/2006/relationships" name="Lists" sheetId="4" r:id="Rc4626b1d84df48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"/>
    <x:numFmt numFmtId="202" formatCode="0"/>
    <x:numFmt numFmtId="203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8"/>
      <x:color rgb="FF1F4E78"/>
      <x:name val="Carlito"/>
    </x:font>
    <x:font>
      <x:i/>
      <x:sz val="11"/>
      <x:color rgb="FF666666"/>
      <x:name val="Carlito"/>
    </x:font>
    <x:font>
      <x:b/>
      <x:sz val="11"/>
      <x:name val="Carlito"/>
    </x:font>
    <x:font>
      <x:b/>
      <x:sz val="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7F9FC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203" fontId="5" fillId="4" borderId="0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201" fontId="5" fillId="4" borderId="0" xfId="0" applyNumberFormat="1" applyFont="1" applyFill="1" applyBorder="1" applyAlignment="1">
      <x:alignment horizontal="center" vertical="center"/>
    </x:xf>
    <x:xf numFmtId="201" fontId="5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035d65b7654e8f" /><Relationship Type="http://schemas.openxmlformats.org/officeDocument/2006/relationships/theme" Target="/xl/theme/theme1.xml" Id="R6dc4f8f974c54617" /><Relationship Type="http://schemas.openxmlformats.org/officeDocument/2006/relationships/sharedStrings" Target="/xl/sharedStrings.xml" Id="R6ce9c96c44714ee9" /><Relationship Type="http://schemas.openxmlformats.org/officeDocument/2006/relationships/worksheet" Target="/xl/worksheets/sheet1.xml" Id="R57503bd4c8394faf" /><Relationship Type="http://schemas.openxmlformats.org/officeDocument/2006/relationships/worksheet" Target="/xl/worksheets/sheet2.xml" Id="Rf989315c08ef497f" /><Relationship Type="http://schemas.openxmlformats.org/officeDocument/2006/relationships/worksheet" Target="/xl/worksheets/sheet3.xml" Id="R25dafbceb89c434c" /><Relationship Type="http://schemas.openxmlformats.org/officeDocument/2006/relationships/worksheet" Target="/xl/worksheets/sheet4.xml" Id="Rc4626b1d84df488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8a6d0b9a943492b" /><Relationship Type="http://schemas.openxmlformats.org/officeDocument/2006/relationships/chart" Target="/xl/drawings/charts/chart2.xml" Id="R4f81076e55f445e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Channel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'Dashboard'!$A$12:$A$15</c:f>
              <c:strCache>
                <c:ptCount val="0"/>
              </c:strCache>
            </c:strRef>
          </c:cat>
          <c:val>
            <c:numRef>
              <c:f>'Dashboard'!$B$12:$B$15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by Priority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14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8a6d0b9a943492b"/>
        </a:graphicData>
      </a:graphic>
    </xdr:graphicFrame>
    <xdr:clientData/>
  </xdr:twoCellAnchor>
  <xdr:twoCellAnchor>
    <xdr:from>
      <xdr:col>7</xdr:col>
      <xdr:colOff>0</xdr:colOff>
      <xdr:row>24</xdr:row>
      <xdr:rowOff>0</xdr:rowOff>
    </xdr:from>
    <xdr:to>
      <xdr:col>14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f81076e55f445e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cketsTable" displayName="TicketsTable" ref="A1:M61" headerRowCount="1" totalsRowCount="0" totalsRowShown="0">
  <x:tableColumns count="13">
    <x:tableColumn id="1" name="Ticket ID"/>
    <x:tableColumn id="2" name="Channel"/>
    <x:tableColumn id="3" name="Agent"/>
    <x:tableColumn id="4" name="Category"/>
    <x:tableColumn id="5" name="Priority"/>
    <x:tableColumn id="6" name="Opened"/>
    <x:tableColumn id="7" name="Due"/>
    <x:tableColumn id="8" name="Resolved"/>
    <x:tableColumn id="9" name="Status"/>
    <x:tableColumn id="10" name="SLA Target Hrs"/>
    <x:tableColumn id="11" name="Resolution Hrs"/>
    <x:tableColumn id="12" name="SLA Met"/>
    <x:tableColumn id="13" name="CS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4cbe0a11d98409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e3cd86e52f4ef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>
      <x:c r="A1" s="18" t="str">
        <x:v>RA | Customer Service SLA Dashboard</x:v>
      </x:c>
      <x:c r="B1" s="18"/>
      <x:c r="C1" s="18"/>
      <x:c r="D1" s="18"/>
      <x:c r="E1" s="18"/>
      <x:c r="F1" s="18"/>
      <x:c r="G1" s="18"/>
      <x:c r="H1" s="18"/>
    </x:row>
    <x:row r="2">
      <x:c r="A2" s="20" t="str">
        <x:v>Synthetic customer-service analytics project for operational reporting and SLA management</x:v>
      </x:c>
      <x:c r="B2" s="20"/>
      <x:c r="C2" s="20"/>
      <x:c r="D2" s="20"/>
      <x:c r="E2" s="20"/>
      <x:c r="F2" s="20"/>
      <x:c r="G2" s="20"/>
      <x:c r="H2" s="20"/>
    </x:row>
    <x:row r="4">
      <x:c r="A4" s="23" t="str">
        <x:v>Total Tickets</x:v>
      </x:c>
      <x:c r="B4" s="23"/>
      <x:c r="C4" s="23" t="str">
        <x:v>Resolved</x:v>
      </x:c>
      <x:c r="D4" s="23"/>
      <x:c r="E4" s="23" t="str">
        <x:v>SLA Met %</x:v>
      </x:c>
      <x:c r="F4" s="23"/>
      <x:c r="G4" s="23" t="str">
        <x:v>Open Backlog</x:v>
      </x:c>
      <x:c r="H4" s="23"/>
    </x:row>
    <x:row r="5">
      <x:c r="A5" s="29" t="n">
        <x:f>COUNTA(Tickets!$A$2:$A$61)</x:f>
        <x:v>60</x:v>
      </x:c>
      <x:c r="B5" s="29"/>
      <x:c r="C5" s="29" t="n">
        <x:f>COUNTIF(Tickets!$I$2:$I$61,"Resolved")</x:f>
        <x:v>48</x:v>
      </x:c>
      <x:c r="D5" s="29"/>
      <x:c r="E5" s="34" t="n">
        <x:f>IF(C5=0,0,COUNTIF(Tickets!$L$2:$L$61,"Yes")/C5)</x:f>
        <x:v>0.5</x:v>
      </x:c>
      <x:c r="F5" s="34"/>
      <x:c r="G5" s="29" t="n">
        <x:f>COUNTIF(Tickets!$I$2:$I$61,"&lt;&gt;Resolved")</x:f>
        <x:v>12</x:v>
      </x:c>
      <x:c r="H5" s="29"/>
    </x:row>
    <x:row r="7">
      <x:c r="A7" s="23" t="str">
        <x:v>SLA Breaches</x:v>
      </x:c>
      <x:c r="B7" s="23"/>
      <x:c r="C7" s="23" t="str">
        <x:v>Critical Open</x:v>
      </x:c>
      <x:c r="D7" s="23"/>
      <x:c r="E7" s="23" t="str">
        <x:v>Avg CSAT</x:v>
      </x:c>
      <x:c r="F7" s="23"/>
      <x:c r="G7" s="23" t="str">
        <x:v>Agents</x:v>
      </x:c>
      <x:c r="H7" s="23"/>
    </x:row>
    <x:row r="8">
      <x:c r="A8" s="29" t="n">
        <x:f>COUNTIF(Tickets!$L$2:$L$61,"No")</x:f>
        <x:v>24</x:v>
      </x:c>
      <x:c r="B8" s="29"/>
      <x:c r="C8" s="29" t="n">
        <x:f>COUNTIFS(Tickets!$E$2:$E$61,"Critical",Tickets!$I$2:$I$61,"&lt;&gt;Resolved")</x:f>
        <x:v>3</x:v>
      </x:c>
      <x:c r="D8" s="29"/>
      <x:c r="E8" s="36" t="n">
        <x:f>AVERAGE(Tickets!$M$2:$M$61)</x:f>
        <x:v>4</x:v>
      </x:c>
      <x:c r="F8" s="36"/>
      <x:c r="G8" s="29" t="n">
        <x:f>COUNTA(Agents!$A$2:$A$6)</x:f>
        <x:v>5</x:v>
      </x:c>
      <x:c r="H8" s="29"/>
    </x:row>
    <x:row r="11">
      <x:c r="A11" s="5" t="str">
        <x:v>Channel</x:v>
      </x:c>
      <x:c r="B11" s="5" t="str">
        <x:v>Tickets</x:v>
      </x:c>
      <x:c r="D11" s="5" t="str">
        <x:v>Priority</x:v>
      </x:c>
      <x:c r="E11" s="5" t="str">
        <x:v>Tickets</x:v>
      </x:c>
    </x:row>
    <x:row r="12">
      <x:c r="A12" t="str">
        <x:v>Email</x:v>
      </x:c>
      <x:c r="B12" t="n">
        <x:f>COUNTIF(Tickets!$B$2:$B$61,A12)</x:f>
        <x:v>15</x:v>
      </x:c>
      <x:c r="D12" t="str">
        <x:v>Low</x:v>
      </x:c>
      <x:c r="E12" t="n">
        <x:f>COUNTIF(Tickets!$E$2:$E$61,D12)</x:f>
        <x:v>15</x:v>
      </x:c>
    </x:row>
    <x:row r="13">
      <x:c r="A13" t="str">
        <x:v>Phone</x:v>
      </x:c>
      <x:c r="B13" t="n">
        <x:f>COUNTIF(Tickets!$B$2:$B$61,A13)</x:f>
        <x:v>15</x:v>
      </x:c>
      <x:c r="D13" t="str">
        <x:v>Medium</x:v>
      </x:c>
      <x:c r="E13" t="n">
        <x:f>COUNTIF(Tickets!$E$2:$E$61,D13)</x:f>
        <x:v>15</x:v>
      </x:c>
    </x:row>
    <x:row r="14">
      <x:c r="A14" t="str">
        <x:v>Chat</x:v>
      </x:c>
      <x:c r="B14" t="n">
        <x:f>COUNTIF(Tickets!$B$2:$B$61,A14)</x:f>
        <x:v>15</x:v>
      </x:c>
      <x:c r="D14" t="str">
        <x:v>High</x:v>
      </x:c>
      <x:c r="E14" t="n">
        <x:f>COUNTIF(Tickets!$E$2:$E$61,D14)</x:f>
        <x:v>15</x:v>
      </x:c>
    </x:row>
    <x:row r="15">
      <x:c r="A15" t="str">
        <x:v>Web</x:v>
      </x:c>
      <x:c r="B15" t="n">
        <x:f>COUNTIF(Tickets!$B$2:$B$61,A15)</x:f>
        <x:v>15</x:v>
      </x:c>
      <x:c r="D15" t="str">
        <x:v>Critical</x:v>
      </x:c>
      <x:c r="E15" t="n">
        <x:f>COUNTIF(Tickets!$E$2:$E$61,D15)</x:f>
        <x:v>15</x:v>
      </x:c>
    </x:row>
    <x:row r="18">
      <x:c r="A18" s="5" t="str">
        <x:v>Agent</x:v>
      </x:c>
      <x:c r="B18" s="5" t="str">
        <x:v>Tickets</x:v>
      </x:c>
      <x:c r="C18" s="5" t="str">
        <x:v>Resolved</x:v>
      </x:c>
      <x:c r="D18" s="5" t="str">
        <x:v>SLA Met %</x:v>
      </x:c>
      <x:c r="E18" s="5" t="str">
        <x:v>Avg CSAT</x:v>
      </x:c>
      <x:c r="F18" s="5" t="str">
        <x:v>Open</x:v>
      </x:c>
    </x:row>
    <x:row r="19">
      <x:c r="A19" t="str">
        <x:f>Agents!A2</x:f>
        <x:v>A. Hassan</x:v>
      </x:c>
      <x:c r="B19" t="n">
        <x:f>Agents!B2</x:f>
        <x:v>12</x:v>
      </x:c>
      <x:c r="C19" t="n">
        <x:f>Agents!C2</x:f>
        <x:v>0</x:v>
      </x:c>
      <x:c r="D19" s="16" t="n">
        <x:f>Agents!D2</x:f>
        <x:v>0</x:v>
      </x:c>
      <x:c r="E19" s="12" t="n">
        <x:f>Agents!E2</x:f>
        <x:v>0</x:v>
      </x:c>
      <x:c r="F19" t="n">
        <x:f>Agents!F2</x:f>
        <x:v>12</x:v>
      </x:c>
    </x:row>
    <x:row r="20">
      <x:c r="A20" t="str">
        <x:f>Agents!A3</x:f>
        <x:v>M. Khan</x:v>
      </x:c>
      <x:c r="B20" t="n">
        <x:f>Agents!B3</x:f>
        <x:v>12</x:v>
      </x:c>
      <x:c r="C20" t="n">
        <x:f>Agents!C3</x:f>
        <x:v>12</x:v>
      </x:c>
      <x:c r="D20" s="16" t="n">
        <x:f>Agents!D3</x:f>
        <x:v>0.5</x:v>
      </x:c>
      <x:c r="E20" s="12" t="n">
        <x:f>Agents!E3</x:f>
        <x:v>4</x:v>
      </x:c>
      <x:c r="F20" t="n">
        <x:f>Agents!F3</x:f>
        <x:v>0</x:v>
      </x:c>
    </x:row>
    <x:row r="21">
      <x:c r="A21" t="str">
        <x:f>Agents!A4</x:f>
        <x:v>S. Omar</x:v>
      </x:c>
      <x:c r="B21" t="n">
        <x:f>Agents!B4</x:f>
        <x:v>12</x:v>
      </x:c>
      <x:c r="C21" t="n">
        <x:f>Agents!C4</x:f>
        <x:v>12</x:v>
      </x:c>
      <x:c r="D21" s="16" t="n">
        <x:f>Agents!D4</x:f>
        <x:v>0.5</x:v>
      </x:c>
      <x:c r="E21" s="12" t="n">
        <x:f>Agents!E4</x:f>
        <x:v>5</x:v>
      </x:c>
      <x:c r="F21" t="n">
        <x:f>Agents!F4</x:f>
        <x:v>0</x:v>
      </x:c>
    </x:row>
    <x:row r="22">
      <x:c r="A22" t="str">
        <x:f>Agents!A5</x:f>
        <x:v>N. Ali</x:v>
      </x:c>
      <x:c r="B22" t="n">
        <x:f>Agents!B5</x:f>
        <x:v>12</x:v>
      </x:c>
      <x:c r="C22" t="n">
        <x:f>Agents!C5</x:f>
        <x:v>12</x:v>
      </x:c>
      <x:c r="D22" s="16" t="n">
        <x:f>Agents!D5</x:f>
        <x:v>0.5</x:v>
      </x:c>
      <x:c r="E22" s="12" t="n">
        <x:f>Agents!E5</x:f>
        <x:v>3</x:v>
      </x:c>
      <x:c r="F22" t="n">
        <x:f>Agents!F5</x:f>
        <x:v>0</x:v>
      </x:c>
    </x:row>
    <x:row r="23">
      <x:c r="A23" t="str">
        <x:f>Agents!A6</x:f>
        <x:v>F. Saleh</x:v>
      </x:c>
      <x:c r="B23" t="n">
        <x:f>Agents!B6</x:f>
        <x:v>12</x:v>
      </x:c>
      <x:c r="C23" t="n">
        <x:f>Agents!C6</x:f>
        <x:v>12</x:v>
      </x:c>
      <x:c r="D23" s="16" t="n">
        <x:f>Agents!D6</x:f>
        <x:v>0.5</x:v>
      </x:c>
      <x:c r="E23" s="12" t="n">
        <x:f>Agents!E6</x:f>
        <x:v>4</x:v>
      </x:c>
      <x:c r="F23" t="n">
        <x:f>Agents!F6</x:f>
        <x:v>0</x:v>
      </x:c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7:B7"/>
    <x:mergeCell ref="A8:B8"/>
    <x:mergeCell ref="C7:D7"/>
    <x:mergeCell ref="C8:D8"/>
    <x:mergeCell ref="E7:F7"/>
    <x:mergeCell ref="E8:F8"/>
    <x:mergeCell ref="G7:H7"/>
    <x:mergeCell ref="G8:H8"/>
  </x:mergeCells>
  <x:pageMargins left="0.7" right="0.7" top="0.75" bottom="0.75" header="0.3" footer="0.3"/>
  <x:drawing xmlns:r="http://schemas.openxmlformats.org/officeDocument/2006/relationships" r:id="R14cbe0a11d984092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5" hidden="0" customWidth="1"/>
    <x:col min="4" max="4" width="14" hidden="0" customWidth="1"/>
    <x:col min="5" max="5" width="11" hidden="0" customWidth="1"/>
    <x:col min="6" max="6" width="18" hidden="0" customWidth="1"/>
    <x:col min="7" max="7" width="18" hidden="0" customWidth="1"/>
    <x:col min="8" max="8" width="18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9" hidden="0" customWidth="1"/>
  </x:cols>
  <x:sheetData>
    <x:row r="1">
      <x:c r="A1" s="5" t="str">
        <x:v>Ticket ID</x:v>
      </x:c>
      <x:c r="B1" s="5" t="str">
        <x:v>Channel</x:v>
      </x:c>
      <x:c r="C1" s="5" t="str">
        <x:v>Agent</x:v>
      </x:c>
      <x:c r="D1" s="5" t="str">
        <x:v>Category</x:v>
      </x:c>
      <x:c r="E1" s="5" t="str">
        <x:v>Priority</x:v>
      </x:c>
      <x:c r="F1" s="5" t="str">
        <x:v>Opened</x:v>
      </x:c>
      <x:c r="G1" s="5" t="str">
        <x:v>Due</x:v>
      </x:c>
      <x:c r="H1" s="5" t="str">
        <x:v>Resolved</x:v>
      </x:c>
      <x:c r="I1" s="5" t="str">
        <x:v>Status</x:v>
      </x:c>
      <x:c r="J1" s="5" t="str">
        <x:v>SLA Target Hrs</x:v>
      </x:c>
      <x:c r="K1" s="5" t="str">
        <x:v>Resolution Hrs</x:v>
      </x:c>
      <x:c r="L1" s="5" t="str">
        <x:v>SLA Met</x:v>
      </x:c>
      <x:c r="M1" s="5" t="str">
        <x:v>CSAT</x:v>
      </x:c>
    </x:row>
    <x:row r="2">
      <x:c r="A2" t="str">
        <x:v>CS-001</x:v>
      </x:c>
      <x:c r="B2" t="str">
        <x:v>Email</x:v>
      </x:c>
      <x:c r="C2" t="str">
        <x:v>A. Hassan</x:v>
      </x:c>
      <x:c r="D2" t="str">
        <x:v>Billing</x:v>
      </x:c>
      <x:c r="E2" t="str">
        <x:v>Low</x:v>
      </x:c>
      <x:c r="F2" s="10" t="n">
        <x:v>46266.333333333336</x:v>
      </x:c>
      <x:c r="G2" s="10" t="n">
        <x:v>46268.333333333336</x:v>
      </x:c>
      <x:c r="H2" s="10"/>
      <x:c r="I2" t="str">
        <x:v>Open</x:v>
      </x:c>
      <x:c r="J2" s="12" t="n">
        <x:v>48</x:v>
      </x:c>
      <x:c r="K2" s="12"/>
      <x:c r="L2" t="str">
        <x:v>Open</x:v>
      </x:c>
      <x:c r="M2" s="14"/>
    </x:row>
    <x:row r="3">
      <x:c r="A3" t="str">
        <x:v>CS-002</x:v>
      </x:c>
      <x:c r="B3" t="str">
        <x:v>Phone</x:v>
      </x:c>
      <x:c r="C3" t="str">
        <x:v>M. Khan</x:v>
      </x:c>
      <x:c r="D3" t="str">
        <x:v>Technical</x:v>
      </x:c>
      <x:c r="E3" t="str">
        <x:v>Medium</x:v>
      </x:c>
      <x:c r="F3" s="10" t="n">
        <x:v>46266.541666666664</x:v>
      </x:c>
      <x:c r="G3" s="10" t="n">
        <x:v>46267.541666666664</x:v>
      </x:c>
      <x:c r="H3" s="10" t="n">
        <x:v>46267.333333333336</x:v>
      </x:c>
      <x:c r="I3" t="str">
        <x:v>Resolved</x:v>
      </x:c>
      <x:c r="J3" s="12" t="n">
        <x:v>24</x:v>
      </x:c>
      <x:c r="K3" s="12" t="n">
        <x:v>19</x:v>
      </x:c>
      <x:c r="L3" t="str">
        <x:v>Yes</x:v>
      </x:c>
      <x:c r="M3" s="14" t="n">
        <x:v>4</x:v>
      </x:c>
    </x:row>
    <x:row r="4">
      <x:c r="A4" t="str">
        <x:v>CS-003</x:v>
      </x:c>
      <x:c r="B4" t="str">
        <x:v>Chat</x:v>
      </x:c>
      <x:c r="C4" t="str">
        <x:v>S. Omar</x:v>
      </x:c>
      <x:c r="D4" t="str">
        <x:v>Delivery</x:v>
      </x:c>
      <x:c r="E4" t="str">
        <x:v>High</x:v>
      </x:c>
      <x:c r="F4" s="10" t="n">
        <x:v>46266.75</x:v>
      </x:c>
      <x:c r="G4" s="10" t="n">
        <x:v>46267.25</x:v>
      </x:c>
      <x:c r="H4" s="10" t="n">
        <x:v>46267.291666666664</x:v>
      </x:c>
      <x:c r="I4" t="str">
        <x:v>Resolved</x:v>
      </x:c>
      <x:c r="J4" s="12" t="n">
        <x:v>12</x:v>
      </x:c>
      <x:c r="K4" s="12" t="n">
        <x:v>13</x:v>
      </x:c>
      <x:c r="L4" t="str">
        <x:v>No</x:v>
      </x:c>
      <x:c r="M4" s="14" t="n">
        <x:v>5</x:v>
      </x:c>
    </x:row>
    <x:row r="5">
      <x:c r="A5" t="str">
        <x:v>CS-004</x:v>
      </x:c>
      <x:c r="B5" t="str">
        <x:v>Web</x:v>
      </x:c>
      <x:c r="C5" t="str">
        <x:v>N. Ali</x:v>
      </x:c>
      <x:c r="D5" t="str">
        <x:v>Account</x:v>
      </x:c>
      <x:c r="E5" t="str">
        <x:v>Critical</x:v>
      </x:c>
      <x:c r="F5" s="10" t="n">
        <x:v>46266.958333333336</x:v>
      </x:c>
      <x:c r="G5" s="10" t="n">
        <x:v>46267.125</x:v>
      </x:c>
      <x:c r="H5" s="10" t="n">
        <x:v>46267.166666666664</x:v>
      </x:c>
      <x:c r="I5" t="str">
        <x:v>Resolved</x:v>
      </x:c>
      <x:c r="J5" s="12" t="n">
        <x:v>4</x:v>
      </x:c>
      <x:c r="K5" s="12" t="n">
        <x:v>5</x:v>
      </x:c>
      <x:c r="L5" t="str">
        <x:v>No</x:v>
      </x:c>
      <x:c r="M5" s="14" t="n">
        <x:v>3</x:v>
      </x:c>
    </x:row>
    <x:row r="6">
      <x:c r="A6" t="str">
        <x:v>CS-005</x:v>
      </x:c>
      <x:c r="B6" t="str">
        <x:v>Email</x:v>
      </x:c>
      <x:c r="C6" t="str">
        <x:v>F. Saleh</x:v>
      </x:c>
      <x:c r="D6" t="str">
        <x:v>General</x:v>
      </x:c>
      <x:c r="E6" t="str">
        <x:v>Low</x:v>
      </x:c>
      <x:c r="F6" s="10" t="n">
        <x:v>46267.166666666664</x:v>
      </x:c>
      <x:c r="G6" s="10" t="n">
        <x:v>46269.166666666664</x:v>
      </x:c>
      <x:c r="H6" s="10" t="n">
        <x:v>46268.166666666664</x:v>
      </x:c>
      <x:c r="I6" t="str">
        <x:v>Resolved</x:v>
      </x:c>
      <x:c r="J6" s="12" t="n">
        <x:v>48</x:v>
      </x:c>
      <x:c r="K6" s="12" t="n">
        <x:v>24</x:v>
      </x:c>
      <x:c r="L6" t="str">
        <x:v>Yes</x:v>
      </x:c>
      <x:c r="M6" s="14" t="n">
        <x:v>4</x:v>
      </x:c>
    </x:row>
    <x:row r="7">
      <x:c r="A7" t="str">
        <x:v>CS-006</x:v>
      </x:c>
      <x:c r="B7" t="str">
        <x:v>Phone</x:v>
      </x:c>
      <x:c r="C7" t="str">
        <x:v>A. Hassan</x:v>
      </x:c>
      <x:c r="D7" t="str">
        <x:v>Billing</x:v>
      </x:c>
      <x:c r="E7" t="str">
        <x:v>Medium</x:v>
      </x:c>
      <x:c r="F7" s="10" t="n">
        <x:v>46267.375</x:v>
      </x:c>
      <x:c r="G7" s="10" t="n">
        <x:v>46268.375</x:v>
      </x:c>
      <x:c r="H7" s="10"/>
      <x:c r="I7" t="str">
        <x:v>In Progress</x:v>
      </x:c>
      <x:c r="J7" s="12" t="n">
        <x:v>24</x:v>
      </x:c>
      <x:c r="K7" s="12"/>
      <x:c r="L7" t="str">
        <x:v>Open</x:v>
      </x:c>
      <x:c r="M7" s="14"/>
    </x:row>
    <x:row r="8">
      <x:c r="A8" t="str">
        <x:v>CS-007</x:v>
      </x:c>
      <x:c r="B8" t="str">
        <x:v>Chat</x:v>
      </x:c>
      <x:c r="C8" t="str">
        <x:v>M. Khan</x:v>
      </x:c>
      <x:c r="D8" t="str">
        <x:v>Technical</x:v>
      </x:c>
      <x:c r="E8" t="str">
        <x:v>High</x:v>
      </x:c>
      <x:c r="F8" s="10" t="n">
        <x:v>46267.583333333336</x:v>
      </x:c>
      <x:c r="G8" s="10" t="n">
        <x:v>46268.083333333336</x:v>
      </x:c>
      <x:c r="H8" s="10" t="n">
        <x:v>46268.125</x:v>
      </x:c>
      <x:c r="I8" t="str">
        <x:v>Resolved</x:v>
      </x:c>
      <x:c r="J8" s="12" t="n">
        <x:v>12</x:v>
      </x:c>
      <x:c r="K8" s="12" t="n">
        <x:v>13</x:v>
      </x:c>
      <x:c r="L8" t="str">
        <x:v>No</x:v>
      </x:c>
      <x:c r="M8" s="14" t="n">
        <x:v>4</x:v>
      </x:c>
    </x:row>
    <x:row r="9">
      <x:c r="A9" t="str">
        <x:v>CS-008</x:v>
      </x:c>
      <x:c r="B9" t="str">
        <x:v>Web</x:v>
      </x:c>
      <x:c r="C9" t="str">
        <x:v>S. Omar</x:v>
      </x:c>
      <x:c r="D9" t="str">
        <x:v>Delivery</x:v>
      </x:c>
      <x:c r="E9" t="str">
        <x:v>Critical</x:v>
      </x:c>
      <x:c r="F9" s="10" t="n">
        <x:v>46267.791666666664</x:v>
      </x:c>
      <x:c r="G9" s="10" t="n">
        <x:v>46267.958333333336</x:v>
      </x:c>
      <x:c r="H9" s="10" t="n">
        <x:v>46268</x:v>
      </x:c>
      <x:c r="I9" t="str">
        <x:v>Resolved</x:v>
      </x:c>
      <x:c r="J9" s="12" t="n">
        <x:v>4</x:v>
      </x:c>
      <x:c r="K9" s="12" t="n">
        <x:v>5</x:v>
      </x:c>
      <x:c r="L9" t="str">
        <x:v>No</x:v>
      </x:c>
      <x:c r="M9" s="14" t="n">
        <x:v>5</x:v>
      </x:c>
    </x:row>
    <x:row r="10">
      <x:c r="A10" t="str">
        <x:v>CS-009</x:v>
      </x:c>
      <x:c r="B10" t="str">
        <x:v>Email</x:v>
      </x:c>
      <x:c r="C10" t="str">
        <x:v>N. Ali</x:v>
      </x:c>
      <x:c r="D10" t="str">
        <x:v>Account</x:v>
      </x:c>
      <x:c r="E10" t="str">
        <x:v>Low</x:v>
      </x:c>
      <x:c r="F10" s="10" t="n">
        <x:v>46268</x:v>
      </x:c>
      <x:c r="G10" s="10" t="n">
        <x:v>46270</x:v>
      </x:c>
      <x:c r="H10" s="10" t="n">
        <x:v>46269</x:v>
      </x:c>
      <x:c r="I10" t="str">
        <x:v>Resolved</x:v>
      </x:c>
      <x:c r="J10" s="12" t="n">
        <x:v>48</x:v>
      </x:c>
      <x:c r="K10" s="12" t="n">
        <x:v>24</x:v>
      </x:c>
      <x:c r="L10" t="str">
        <x:v>Yes</x:v>
      </x:c>
      <x:c r="M10" s="14" t="n">
        <x:v>3</x:v>
      </x:c>
    </x:row>
    <x:row r="11">
      <x:c r="A11" t="str">
        <x:v>CS-010</x:v>
      </x:c>
      <x:c r="B11" t="str">
        <x:v>Phone</x:v>
      </x:c>
      <x:c r="C11" t="str">
        <x:v>F. Saleh</x:v>
      </x:c>
      <x:c r="D11" t="str">
        <x:v>General</x:v>
      </x:c>
      <x:c r="E11" t="str">
        <x:v>Medium</x:v>
      </x:c>
      <x:c r="F11" s="10" t="n">
        <x:v>46268.208333333336</x:v>
      </x:c>
      <x:c r="G11" s="10" t="n">
        <x:v>46269.208333333336</x:v>
      </x:c>
      <x:c r="H11" s="10" t="n">
        <x:v>46269</x:v>
      </x:c>
      <x:c r="I11" t="str">
        <x:v>Resolved</x:v>
      </x:c>
      <x:c r="J11" s="12" t="n">
        <x:v>24</x:v>
      </x:c>
      <x:c r="K11" s="12" t="n">
        <x:v>19</x:v>
      </x:c>
      <x:c r="L11" t="str">
        <x:v>Yes</x:v>
      </x:c>
      <x:c r="M11" s="14" t="n">
        <x:v>4</x:v>
      </x:c>
    </x:row>
    <x:row r="12">
      <x:c r="A12" t="str">
        <x:v>CS-011</x:v>
      </x:c>
      <x:c r="B12" t="str">
        <x:v>Chat</x:v>
      </x:c>
      <x:c r="C12" t="str">
        <x:v>A. Hassan</x:v>
      </x:c>
      <x:c r="D12" t="str">
        <x:v>Billing</x:v>
      </x:c>
      <x:c r="E12" t="str">
        <x:v>High</x:v>
      </x:c>
      <x:c r="F12" s="10" t="n">
        <x:v>46268.416666666664</x:v>
      </x:c>
      <x:c r="G12" s="10" t="n">
        <x:v>46268.916666666664</x:v>
      </x:c>
      <x:c r="H12" s="10"/>
      <x:c r="I12" t="str">
        <x:v>Open</x:v>
      </x:c>
      <x:c r="J12" s="12" t="n">
        <x:v>12</x:v>
      </x:c>
      <x:c r="K12" s="12"/>
      <x:c r="L12" t="str">
        <x:v>Open</x:v>
      </x:c>
      <x:c r="M12" s="14"/>
    </x:row>
    <x:row r="13">
      <x:c r="A13" t="str">
        <x:v>CS-012</x:v>
      </x:c>
      <x:c r="B13" t="str">
        <x:v>Web</x:v>
      </x:c>
      <x:c r="C13" t="str">
        <x:v>M. Khan</x:v>
      </x:c>
      <x:c r="D13" t="str">
        <x:v>Technical</x:v>
      </x:c>
      <x:c r="E13" t="str">
        <x:v>Critical</x:v>
      </x:c>
      <x:c r="F13" s="10" t="n">
        <x:v>46268.625</x:v>
      </x:c>
      <x:c r="G13" s="10" t="n">
        <x:v>46268.791666666664</x:v>
      </x:c>
      <x:c r="H13" s="10" t="n">
        <x:v>46268.833333333336</x:v>
      </x:c>
      <x:c r="I13" t="str">
        <x:v>Resolved</x:v>
      </x:c>
      <x:c r="J13" s="12" t="n">
        <x:v>4</x:v>
      </x:c>
      <x:c r="K13" s="12" t="n">
        <x:v>5</x:v>
      </x:c>
      <x:c r="L13" t="str">
        <x:v>No</x:v>
      </x:c>
      <x:c r="M13" s="14" t="n">
        <x:v>4</x:v>
      </x:c>
    </x:row>
    <x:row r="14">
      <x:c r="A14" t="str">
        <x:v>CS-013</x:v>
      </x:c>
      <x:c r="B14" t="str">
        <x:v>Email</x:v>
      </x:c>
      <x:c r="C14" t="str">
        <x:v>S. Omar</x:v>
      </x:c>
      <x:c r="D14" t="str">
        <x:v>Delivery</x:v>
      </x:c>
      <x:c r="E14" t="str">
        <x:v>Low</x:v>
      </x:c>
      <x:c r="F14" s="10" t="n">
        <x:v>46268.833333333336</x:v>
      </x:c>
      <x:c r="G14" s="10" t="n">
        <x:v>46270.833333333336</x:v>
      </x:c>
      <x:c r="H14" s="10" t="n">
        <x:v>46269.833333333336</x:v>
      </x:c>
      <x:c r="I14" t="str">
        <x:v>Resolved</x:v>
      </x:c>
      <x:c r="J14" s="12" t="n">
        <x:v>48</x:v>
      </x:c>
      <x:c r="K14" s="12" t="n">
        <x:v>24</x:v>
      </x:c>
      <x:c r="L14" t="str">
        <x:v>Yes</x:v>
      </x:c>
      <x:c r="M14" s="14" t="n">
        <x:v>5</x:v>
      </x:c>
    </x:row>
    <x:row r="15">
      <x:c r="A15" t="str">
        <x:v>CS-014</x:v>
      </x:c>
      <x:c r="B15" t="str">
        <x:v>Phone</x:v>
      </x:c>
      <x:c r="C15" t="str">
        <x:v>N. Ali</x:v>
      </x:c>
      <x:c r="D15" t="str">
        <x:v>Account</x:v>
      </x:c>
      <x:c r="E15" t="str">
        <x:v>Medium</x:v>
      </x:c>
      <x:c r="F15" s="10" t="n">
        <x:v>46269.041666666664</x:v>
      </x:c>
      <x:c r="G15" s="10" t="n">
        <x:v>46270.041666666664</x:v>
      </x:c>
      <x:c r="H15" s="10" t="n">
        <x:v>46269.833333333336</x:v>
      </x:c>
      <x:c r="I15" t="str">
        <x:v>Resolved</x:v>
      </x:c>
      <x:c r="J15" s="12" t="n">
        <x:v>24</x:v>
      </x:c>
      <x:c r="K15" s="12" t="n">
        <x:v>19</x:v>
      </x:c>
      <x:c r="L15" t="str">
        <x:v>Yes</x:v>
      </x:c>
      <x:c r="M15" s="14" t="n">
        <x:v>3</x:v>
      </x:c>
    </x:row>
    <x:row r="16">
      <x:c r="A16" t="str">
        <x:v>CS-015</x:v>
      </x:c>
      <x:c r="B16" t="str">
        <x:v>Chat</x:v>
      </x:c>
      <x:c r="C16" t="str">
        <x:v>F. Saleh</x:v>
      </x:c>
      <x:c r="D16" t="str">
        <x:v>General</x:v>
      </x:c>
      <x:c r="E16" t="str">
        <x:v>High</x:v>
      </x:c>
      <x:c r="F16" s="10" t="n">
        <x:v>46269.25</x:v>
      </x:c>
      <x:c r="G16" s="10" t="n">
        <x:v>46269.75</x:v>
      </x:c>
      <x:c r="H16" s="10" t="n">
        <x:v>46269.791666666664</x:v>
      </x:c>
      <x:c r="I16" t="str">
        <x:v>Resolved</x:v>
      </x:c>
      <x:c r="J16" s="12" t="n">
        <x:v>12</x:v>
      </x:c>
      <x:c r="K16" s="12" t="n">
        <x:v>13</x:v>
      </x:c>
      <x:c r="L16" t="str">
        <x:v>No</x:v>
      </x:c>
      <x:c r="M16" s="14" t="n">
        <x:v>4</x:v>
      </x:c>
    </x:row>
    <x:row r="17">
      <x:c r="A17" t="str">
        <x:v>CS-016</x:v>
      </x:c>
      <x:c r="B17" t="str">
        <x:v>Web</x:v>
      </x:c>
      <x:c r="C17" t="str">
        <x:v>A. Hassan</x:v>
      </x:c>
      <x:c r="D17" t="str">
        <x:v>Billing</x:v>
      </x:c>
      <x:c r="E17" t="str">
        <x:v>Critical</x:v>
      </x:c>
      <x:c r="F17" s="10" t="n">
        <x:v>46269.458333333336</x:v>
      </x:c>
      <x:c r="G17" s="10" t="n">
        <x:v>46269.625</x:v>
      </x:c>
      <x:c r="H17" s="10"/>
      <x:c r="I17" t="str">
        <x:v>In Progress</x:v>
      </x:c>
      <x:c r="J17" s="12" t="n">
        <x:v>4</x:v>
      </x:c>
      <x:c r="K17" s="12"/>
      <x:c r="L17" t="str">
        <x:v>Open</x:v>
      </x:c>
      <x:c r="M17" s="14"/>
    </x:row>
    <x:row r="18">
      <x:c r="A18" t="str">
        <x:v>CS-017</x:v>
      </x:c>
      <x:c r="B18" t="str">
        <x:v>Email</x:v>
      </x:c>
      <x:c r="C18" t="str">
        <x:v>M. Khan</x:v>
      </x:c>
      <x:c r="D18" t="str">
        <x:v>Technical</x:v>
      </x:c>
      <x:c r="E18" t="str">
        <x:v>Low</x:v>
      </x:c>
      <x:c r="F18" s="10" t="n">
        <x:v>46269.666666666664</x:v>
      </x:c>
      <x:c r="G18" s="10" t="n">
        <x:v>46271.666666666664</x:v>
      </x:c>
      <x:c r="H18" s="10" t="n">
        <x:v>46270.666666666664</x:v>
      </x:c>
      <x:c r="I18" t="str">
        <x:v>Resolved</x:v>
      </x:c>
      <x:c r="J18" s="12" t="n">
        <x:v>48</x:v>
      </x:c>
      <x:c r="K18" s="12" t="n">
        <x:v>24</x:v>
      </x:c>
      <x:c r="L18" t="str">
        <x:v>Yes</x:v>
      </x:c>
      <x:c r="M18" s="14" t="n">
        <x:v>4</x:v>
      </x:c>
    </x:row>
    <x:row r="19">
      <x:c r="A19" t="str">
        <x:v>CS-018</x:v>
      </x:c>
      <x:c r="B19" t="str">
        <x:v>Phone</x:v>
      </x:c>
      <x:c r="C19" t="str">
        <x:v>S. Omar</x:v>
      </x:c>
      <x:c r="D19" t="str">
        <x:v>Delivery</x:v>
      </x:c>
      <x:c r="E19" t="str">
        <x:v>Medium</x:v>
      </x:c>
      <x:c r="F19" s="10" t="n">
        <x:v>46269.875</x:v>
      </x:c>
      <x:c r="G19" s="10" t="n">
        <x:v>46270.875</x:v>
      </x:c>
      <x:c r="H19" s="10" t="n">
        <x:v>46270.666666666664</x:v>
      </x:c>
      <x:c r="I19" t="str">
        <x:v>Resolved</x:v>
      </x:c>
      <x:c r="J19" s="12" t="n">
        <x:v>24</x:v>
      </x:c>
      <x:c r="K19" s="12" t="n">
        <x:v>19</x:v>
      </x:c>
      <x:c r="L19" t="str">
        <x:v>Yes</x:v>
      </x:c>
      <x:c r="M19" s="14" t="n">
        <x:v>5</x:v>
      </x:c>
    </x:row>
    <x:row r="20">
      <x:c r="A20" t="str">
        <x:v>CS-019</x:v>
      </x:c>
      <x:c r="B20" t="str">
        <x:v>Chat</x:v>
      </x:c>
      <x:c r="C20" t="str">
        <x:v>N. Ali</x:v>
      </x:c>
      <x:c r="D20" t="str">
        <x:v>Account</x:v>
      </x:c>
      <x:c r="E20" t="str">
        <x:v>High</x:v>
      </x:c>
      <x:c r="F20" s="10" t="n">
        <x:v>46270.083333333336</x:v>
      </x:c>
      <x:c r="G20" s="10" t="n">
        <x:v>46270.583333333336</x:v>
      </x:c>
      <x:c r="H20" s="10" t="n">
        <x:v>46270.625</x:v>
      </x:c>
      <x:c r="I20" t="str">
        <x:v>Resolved</x:v>
      </x:c>
      <x:c r="J20" s="12" t="n">
        <x:v>12</x:v>
      </x:c>
      <x:c r="K20" s="12" t="n">
        <x:v>13</x:v>
      </x:c>
      <x:c r="L20" t="str">
        <x:v>No</x:v>
      </x:c>
      <x:c r="M20" s="14" t="n">
        <x:v>3</x:v>
      </x:c>
    </x:row>
    <x:row r="21">
      <x:c r="A21" t="str">
        <x:v>CS-020</x:v>
      </x:c>
      <x:c r="B21" t="str">
        <x:v>Web</x:v>
      </x:c>
      <x:c r="C21" t="str">
        <x:v>F. Saleh</x:v>
      </x:c>
      <x:c r="D21" t="str">
        <x:v>General</x:v>
      </x:c>
      <x:c r="E21" t="str">
        <x:v>Critical</x:v>
      </x:c>
      <x:c r="F21" s="10" t="n">
        <x:v>46270.291666666664</x:v>
      </x:c>
      <x:c r="G21" s="10" t="n">
        <x:v>46270.458333333336</x:v>
      </x:c>
      <x:c r="H21" s="10" t="n">
        <x:v>46270.5</x:v>
      </x:c>
      <x:c r="I21" t="str">
        <x:v>Resolved</x:v>
      </x:c>
      <x:c r="J21" s="12" t="n">
        <x:v>4</x:v>
      </x:c>
      <x:c r="K21" s="12" t="n">
        <x:v>5</x:v>
      </x:c>
      <x:c r="L21" t="str">
        <x:v>No</x:v>
      </x:c>
      <x:c r="M21" s="14" t="n">
        <x:v>4</x:v>
      </x:c>
    </x:row>
    <x:row r="22">
      <x:c r="A22" t="str">
        <x:v>CS-021</x:v>
      </x:c>
      <x:c r="B22" t="str">
        <x:v>Email</x:v>
      </x:c>
      <x:c r="C22" t="str">
        <x:v>A. Hassan</x:v>
      </x:c>
      <x:c r="D22" t="str">
        <x:v>Billing</x:v>
      </x:c>
      <x:c r="E22" t="str">
        <x:v>Low</x:v>
      </x:c>
      <x:c r="F22" s="10" t="n">
        <x:v>46270.5</x:v>
      </x:c>
      <x:c r="G22" s="10" t="n">
        <x:v>46272.5</x:v>
      </x:c>
      <x:c r="H22" s="10"/>
      <x:c r="I22" t="str">
        <x:v>Open</x:v>
      </x:c>
      <x:c r="J22" s="12" t="n">
        <x:v>48</x:v>
      </x:c>
      <x:c r="K22" s="12"/>
      <x:c r="L22" t="str">
        <x:v>Open</x:v>
      </x:c>
      <x:c r="M22" s="14"/>
    </x:row>
    <x:row r="23">
      <x:c r="A23" t="str">
        <x:v>CS-022</x:v>
      </x:c>
      <x:c r="B23" t="str">
        <x:v>Phone</x:v>
      </x:c>
      <x:c r="C23" t="str">
        <x:v>M. Khan</x:v>
      </x:c>
      <x:c r="D23" t="str">
        <x:v>Technical</x:v>
      </x:c>
      <x:c r="E23" t="str">
        <x:v>Medium</x:v>
      </x:c>
      <x:c r="F23" s="10" t="n">
        <x:v>46270.708333333336</x:v>
      </x:c>
      <x:c r="G23" s="10" t="n">
        <x:v>46271.708333333336</x:v>
      </x:c>
      <x:c r="H23" s="10" t="n">
        <x:v>46271.5</x:v>
      </x:c>
      <x:c r="I23" t="str">
        <x:v>Resolved</x:v>
      </x:c>
      <x:c r="J23" s="12" t="n">
        <x:v>24</x:v>
      </x:c>
      <x:c r="K23" s="12" t="n">
        <x:v>19</x:v>
      </x:c>
      <x:c r="L23" t="str">
        <x:v>Yes</x:v>
      </x:c>
      <x:c r="M23" s="14" t="n">
        <x:v>4</x:v>
      </x:c>
    </x:row>
    <x:row r="24">
      <x:c r="A24" t="str">
        <x:v>CS-023</x:v>
      </x:c>
      <x:c r="B24" t="str">
        <x:v>Chat</x:v>
      </x:c>
      <x:c r="C24" t="str">
        <x:v>S. Omar</x:v>
      </x:c>
      <x:c r="D24" t="str">
        <x:v>Delivery</x:v>
      </x:c>
      <x:c r="E24" t="str">
        <x:v>High</x:v>
      </x:c>
      <x:c r="F24" s="10" t="n">
        <x:v>46270.916666666664</x:v>
      </x:c>
      <x:c r="G24" s="10" t="n">
        <x:v>46271.416666666664</x:v>
      </x:c>
      <x:c r="H24" s="10" t="n">
        <x:v>46271.458333333336</x:v>
      </x:c>
      <x:c r="I24" t="str">
        <x:v>Resolved</x:v>
      </x:c>
      <x:c r="J24" s="12" t="n">
        <x:v>12</x:v>
      </x:c>
      <x:c r="K24" s="12" t="n">
        <x:v>13</x:v>
      </x:c>
      <x:c r="L24" t="str">
        <x:v>No</x:v>
      </x:c>
      <x:c r="M24" s="14" t="n">
        <x:v>5</x:v>
      </x:c>
    </x:row>
    <x:row r="25">
      <x:c r="A25" t="str">
        <x:v>CS-024</x:v>
      </x:c>
      <x:c r="B25" t="str">
        <x:v>Web</x:v>
      </x:c>
      <x:c r="C25" t="str">
        <x:v>N. Ali</x:v>
      </x:c>
      <x:c r="D25" t="str">
        <x:v>Account</x:v>
      </x:c>
      <x:c r="E25" t="str">
        <x:v>Critical</x:v>
      </x:c>
      <x:c r="F25" s="10" t="n">
        <x:v>46271.125</x:v>
      </x:c>
      <x:c r="G25" s="10" t="n">
        <x:v>46271.291666666664</x:v>
      </x:c>
      <x:c r="H25" s="10" t="n">
        <x:v>46271.333333333336</x:v>
      </x:c>
      <x:c r="I25" t="str">
        <x:v>Resolved</x:v>
      </x:c>
      <x:c r="J25" s="12" t="n">
        <x:v>4</x:v>
      </x:c>
      <x:c r="K25" s="12" t="n">
        <x:v>5</x:v>
      </x:c>
      <x:c r="L25" t="str">
        <x:v>No</x:v>
      </x:c>
      <x:c r="M25" s="14" t="n">
        <x:v>3</x:v>
      </x:c>
    </x:row>
    <x:row r="26">
      <x:c r="A26" t="str">
        <x:v>CS-025</x:v>
      </x:c>
      <x:c r="B26" t="str">
        <x:v>Email</x:v>
      </x:c>
      <x:c r="C26" t="str">
        <x:v>F. Saleh</x:v>
      </x:c>
      <x:c r="D26" t="str">
        <x:v>General</x:v>
      </x:c>
      <x:c r="E26" t="str">
        <x:v>Low</x:v>
      </x:c>
      <x:c r="F26" s="10" t="n">
        <x:v>46271.333333333336</x:v>
      </x:c>
      <x:c r="G26" s="10" t="n">
        <x:v>46273.333333333336</x:v>
      </x:c>
      <x:c r="H26" s="10" t="n">
        <x:v>46272.333333333336</x:v>
      </x:c>
      <x:c r="I26" t="str">
        <x:v>Resolved</x:v>
      </x:c>
      <x:c r="J26" s="12" t="n">
        <x:v>48</x:v>
      </x:c>
      <x:c r="K26" s="12" t="n">
        <x:v>24</x:v>
      </x:c>
      <x:c r="L26" t="str">
        <x:v>Yes</x:v>
      </x:c>
      <x:c r="M26" s="14" t="n">
        <x:v>4</x:v>
      </x:c>
    </x:row>
    <x:row r="27">
      <x:c r="A27" t="str">
        <x:v>CS-026</x:v>
      </x:c>
      <x:c r="B27" t="str">
        <x:v>Phone</x:v>
      </x:c>
      <x:c r="C27" t="str">
        <x:v>A. Hassan</x:v>
      </x:c>
      <x:c r="D27" t="str">
        <x:v>Billing</x:v>
      </x:c>
      <x:c r="E27" t="str">
        <x:v>Medium</x:v>
      </x:c>
      <x:c r="F27" s="10" t="n">
        <x:v>46271.541666666664</x:v>
      </x:c>
      <x:c r="G27" s="10" t="n">
        <x:v>46272.541666666664</x:v>
      </x:c>
      <x:c r="H27" s="10"/>
      <x:c r="I27" t="str">
        <x:v>In Progress</x:v>
      </x:c>
      <x:c r="J27" s="12" t="n">
        <x:v>24</x:v>
      </x:c>
      <x:c r="K27" s="12"/>
      <x:c r="L27" t="str">
        <x:v>Open</x:v>
      </x:c>
      <x:c r="M27" s="14"/>
    </x:row>
    <x:row r="28">
      <x:c r="A28" t="str">
        <x:v>CS-027</x:v>
      </x:c>
      <x:c r="B28" t="str">
        <x:v>Chat</x:v>
      </x:c>
      <x:c r="C28" t="str">
        <x:v>M. Khan</x:v>
      </x:c>
      <x:c r="D28" t="str">
        <x:v>Technical</x:v>
      </x:c>
      <x:c r="E28" t="str">
        <x:v>High</x:v>
      </x:c>
      <x:c r="F28" s="10" t="n">
        <x:v>46271.75</x:v>
      </x:c>
      <x:c r="G28" s="10" t="n">
        <x:v>46272.25</x:v>
      </x:c>
      <x:c r="H28" s="10" t="n">
        <x:v>46272.291666666664</x:v>
      </x:c>
      <x:c r="I28" t="str">
        <x:v>Resolved</x:v>
      </x:c>
      <x:c r="J28" s="12" t="n">
        <x:v>12</x:v>
      </x:c>
      <x:c r="K28" s="12" t="n">
        <x:v>13</x:v>
      </x:c>
      <x:c r="L28" t="str">
        <x:v>No</x:v>
      </x:c>
      <x:c r="M28" s="14" t="n">
        <x:v>4</x:v>
      </x:c>
    </x:row>
    <x:row r="29">
      <x:c r="A29" t="str">
        <x:v>CS-028</x:v>
      </x:c>
      <x:c r="B29" t="str">
        <x:v>Web</x:v>
      </x:c>
      <x:c r="C29" t="str">
        <x:v>S. Omar</x:v>
      </x:c>
      <x:c r="D29" t="str">
        <x:v>Delivery</x:v>
      </x:c>
      <x:c r="E29" t="str">
        <x:v>Critical</x:v>
      </x:c>
      <x:c r="F29" s="10" t="n">
        <x:v>46271.958333333336</x:v>
      </x:c>
      <x:c r="G29" s="10" t="n">
        <x:v>46272.125</x:v>
      </x:c>
      <x:c r="H29" s="10" t="n">
        <x:v>46272.166666666664</x:v>
      </x:c>
      <x:c r="I29" t="str">
        <x:v>Resolved</x:v>
      </x:c>
      <x:c r="J29" s="12" t="n">
        <x:v>4</x:v>
      </x:c>
      <x:c r="K29" s="12" t="n">
        <x:v>5</x:v>
      </x:c>
      <x:c r="L29" t="str">
        <x:v>No</x:v>
      </x:c>
      <x:c r="M29" s="14" t="n">
        <x:v>5</x:v>
      </x:c>
    </x:row>
    <x:row r="30">
      <x:c r="A30" t="str">
        <x:v>CS-029</x:v>
      </x:c>
      <x:c r="B30" t="str">
        <x:v>Email</x:v>
      </x:c>
      <x:c r="C30" t="str">
        <x:v>N. Ali</x:v>
      </x:c>
      <x:c r="D30" t="str">
        <x:v>Account</x:v>
      </x:c>
      <x:c r="E30" t="str">
        <x:v>Low</x:v>
      </x:c>
      <x:c r="F30" s="10" t="n">
        <x:v>46272.166666666664</x:v>
      </x:c>
      <x:c r="G30" s="10" t="n">
        <x:v>46274.166666666664</x:v>
      </x:c>
      <x:c r="H30" s="10" t="n">
        <x:v>46273.166666666664</x:v>
      </x:c>
      <x:c r="I30" t="str">
        <x:v>Resolved</x:v>
      </x:c>
      <x:c r="J30" s="12" t="n">
        <x:v>48</x:v>
      </x:c>
      <x:c r="K30" s="12" t="n">
        <x:v>24</x:v>
      </x:c>
      <x:c r="L30" t="str">
        <x:v>Yes</x:v>
      </x:c>
      <x:c r="M30" s="14" t="n">
        <x:v>3</x:v>
      </x:c>
    </x:row>
    <x:row r="31">
      <x:c r="A31" t="str">
        <x:v>CS-030</x:v>
      </x:c>
      <x:c r="B31" t="str">
        <x:v>Phone</x:v>
      </x:c>
      <x:c r="C31" t="str">
        <x:v>F. Saleh</x:v>
      </x:c>
      <x:c r="D31" t="str">
        <x:v>General</x:v>
      </x:c>
      <x:c r="E31" t="str">
        <x:v>Medium</x:v>
      </x:c>
      <x:c r="F31" s="10" t="n">
        <x:v>46272.375</x:v>
      </x:c>
      <x:c r="G31" s="10" t="n">
        <x:v>46273.375</x:v>
      </x:c>
      <x:c r="H31" s="10" t="n">
        <x:v>46273.166666666664</x:v>
      </x:c>
      <x:c r="I31" t="str">
        <x:v>Resolved</x:v>
      </x:c>
      <x:c r="J31" s="12" t="n">
        <x:v>24</x:v>
      </x:c>
      <x:c r="K31" s="12" t="n">
        <x:v>19</x:v>
      </x:c>
      <x:c r="L31" t="str">
        <x:v>Yes</x:v>
      </x:c>
      <x:c r="M31" s="14" t="n">
        <x:v>4</x:v>
      </x:c>
    </x:row>
    <x:row r="32">
      <x:c r="A32" t="str">
        <x:v>CS-031</x:v>
      </x:c>
      <x:c r="B32" t="str">
        <x:v>Chat</x:v>
      </x:c>
      <x:c r="C32" t="str">
        <x:v>A. Hassan</x:v>
      </x:c>
      <x:c r="D32" t="str">
        <x:v>Billing</x:v>
      </x:c>
      <x:c r="E32" t="str">
        <x:v>High</x:v>
      </x:c>
      <x:c r="F32" s="10" t="n">
        <x:v>46272.583333333336</x:v>
      </x:c>
      <x:c r="G32" s="10" t="n">
        <x:v>46273.083333333336</x:v>
      </x:c>
      <x:c r="H32" s="10"/>
      <x:c r="I32" t="str">
        <x:v>Open</x:v>
      </x:c>
      <x:c r="J32" s="12" t="n">
        <x:v>12</x:v>
      </x:c>
      <x:c r="K32" s="12"/>
      <x:c r="L32" t="str">
        <x:v>Open</x:v>
      </x:c>
      <x:c r="M32" s="14"/>
    </x:row>
    <x:row r="33">
      <x:c r="A33" t="str">
        <x:v>CS-032</x:v>
      </x:c>
      <x:c r="B33" t="str">
        <x:v>Web</x:v>
      </x:c>
      <x:c r="C33" t="str">
        <x:v>M. Khan</x:v>
      </x:c>
      <x:c r="D33" t="str">
        <x:v>Technical</x:v>
      </x:c>
      <x:c r="E33" t="str">
        <x:v>Critical</x:v>
      </x:c>
      <x:c r="F33" s="10" t="n">
        <x:v>46272.791666666664</x:v>
      </x:c>
      <x:c r="G33" s="10" t="n">
        <x:v>46272.958333333336</x:v>
      </x:c>
      <x:c r="H33" s="10" t="n">
        <x:v>46273</x:v>
      </x:c>
      <x:c r="I33" t="str">
        <x:v>Resolved</x:v>
      </x:c>
      <x:c r="J33" s="12" t="n">
        <x:v>4</x:v>
      </x:c>
      <x:c r="K33" s="12" t="n">
        <x:v>5</x:v>
      </x:c>
      <x:c r="L33" t="str">
        <x:v>No</x:v>
      </x:c>
      <x:c r="M33" s="14" t="n">
        <x:v>4</x:v>
      </x:c>
    </x:row>
    <x:row r="34">
      <x:c r="A34" t="str">
        <x:v>CS-033</x:v>
      </x:c>
      <x:c r="B34" t="str">
        <x:v>Email</x:v>
      </x:c>
      <x:c r="C34" t="str">
        <x:v>S. Omar</x:v>
      </x:c>
      <x:c r="D34" t="str">
        <x:v>Delivery</x:v>
      </x:c>
      <x:c r="E34" t="str">
        <x:v>Low</x:v>
      </x:c>
      <x:c r="F34" s="10" t="n">
        <x:v>46273</x:v>
      </x:c>
      <x:c r="G34" s="10" t="n">
        <x:v>46275</x:v>
      </x:c>
      <x:c r="H34" s="10" t="n">
        <x:v>46274</x:v>
      </x:c>
      <x:c r="I34" t="str">
        <x:v>Resolved</x:v>
      </x:c>
      <x:c r="J34" s="12" t="n">
        <x:v>48</x:v>
      </x:c>
      <x:c r="K34" s="12" t="n">
        <x:v>24</x:v>
      </x:c>
      <x:c r="L34" t="str">
        <x:v>Yes</x:v>
      </x:c>
      <x:c r="M34" s="14" t="n">
        <x:v>5</x:v>
      </x:c>
    </x:row>
    <x:row r="35">
      <x:c r="A35" t="str">
        <x:v>CS-034</x:v>
      </x:c>
      <x:c r="B35" t="str">
        <x:v>Phone</x:v>
      </x:c>
      <x:c r="C35" t="str">
        <x:v>N. Ali</x:v>
      </x:c>
      <x:c r="D35" t="str">
        <x:v>Account</x:v>
      </x:c>
      <x:c r="E35" t="str">
        <x:v>Medium</x:v>
      </x:c>
      <x:c r="F35" s="10" t="n">
        <x:v>46273.208333333336</x:v>
      </x:c>
      <x:c r="G35" s="10" t="n">
        <x:v>46274.208333333336</x:v>
      </x:c>
      <x:c r="H35" s="10" t="n">
        <x:v>46274</x:v>
      </x:c>
      <x:c r="I35" t="str">
        <x:v>Resolved</x:v>
      </x:c>
      <x:c r="J35" s="12" t="n">
        <x:v>24</x:v>
      </x:c>
      <x:c r="K35" s="12" t="n">
        <x:v>19</x:v>
      </x:c>
      <x:c r="L35" t="str">
        <x:v>Yes</x:v>
      </x:c>
      <x:c r="M35" s="14" t="n">
        <x:v>3</x:v>
      </x:c>
    </x:row>
    <x:row r="36">
      <x:c r="A36" t="str">
        <x:v>CS-035</x:v>
      </x:c>
      <x:c r="B36" t="str">
        <x:v>Chat</x:v>
      </x:c>
      <x:c r="C36" t="str">
        <x:v>F. Saleh</x:v>
      </x:c>
      <x:c r="D36" t="str">
        <x:v>General</x:v>
      </x:c>
      <x:c r="E36" t="str">
        <x:v>High</x:v>
      </x:c>
      <x:c r="F36" s="10" t="n">
        <x:v>46273.416666666664</x:v>
      </x:c>
      <x:c r="G36" s="10" t="n">
        <x:v>46273.916666666664</x:v>
      </x:c>
      <x:c r="H36" s="10" t="n">
        <x:v>46273.958333333336</x:v>
      </x:c>
      <x:c r="I36" t="str">
        <x:v>Resolved</x:v>
      </x:c>
      <x:c r="J36" s="12" t="n">
        <x:v>12</x:v>
      </x:c>
      <x:c r="K36" s="12" t="n">
        <x:v>13</x:v>
      </x:c>
      <x:c r="L36" t="str">
        <x:v>No</x:v>
      </x:c>
      <x:c r="M36" s="14" t="n">
        <x:v>4</x:v>
      </x:c>
    </x:row>
    <x:row r="37">
      <x:c r="A37" t="str">
        <x:v>CS-036</x:v>
      </x:c>
      <x:c r="B37" t="str">
        <x:v>Web</x:v>
      </x:c>
      <x:c r="C37" t="str">
        <x:v>A. Hassan</x:v>
      </x:c>
      <x:c r="D37" t="str">
        <x:v>Billing</x:v>
      </x:c>
      <x:c r="E37" t="str">
        <x:v>Critical</x:v>
      </x:c>
      <x:c r="F37" s="10" t="n">
        <x:v>46273.625</x:v>
      </x:c>
      <x:c r="G37" s="10" t="n">
        <x:v>46273.791666666664</x:v>
      </x:c>
      <x:c r="H37" s="10"/>
      <x:c r="I37" t="str">
        <x:v>In Progress</x:v>
      </x:c>
      <x:c r="J37" s="12" t="n">
        <x:v>4</x:v>
      </x:c>
      <x:c r="K37" s="12"/>
      <x:c r="L37" t="str">
        <x:v>Open</x:v>
      </x:c>
      <x:c r="M37" s="14"/>
    </x:row>
    <x:row r="38">
      <x:c r="A38" t="str">
        <x:v>CS-037</x:v>
      </x:c>
      <x:c r="B38" t="str">
        <x:v>Email</x:v>
      </x:c>
      <x:c r="C38" t="str">
        <x:v>M. Khan</x:v>
      </x:c>
      <x:c r="D38" t="str">
        <x:v>Technical</x:v>
      </x:c>
      <x:c r="E38" t="str">
        <x:v>Low</x:v>
      </x:c>
      <x:c r="F38" s="10" t="n">
        <x:v>46273.833333333336</x:v>
      </x:c>
      <x:c r="G38" s="10" t="n">
        <x:v>46275.833333333336</x:v>
      </x:c>
      <x:c r="H38" s="10" t="n">
        <x:v>46274.833333333336</x:v>
      </x:c>
      <x:c r="I38" t="str">
        <x:v>Resolved</x:v>
      </x:c>
      <x:c r="J38" s="12" t="n">
        <x:v>48</x:v>
      </x:c>
      <x:c r="K38" s="12" t="n">
        <x:v>24</x:v>
      </x:c>
      <x:c r="L38" t="str">
        <x:v>Yes</x:v>
      </x:c>
      <x:c r="M38" s="14" t="n">
        <x:v>4</x:v>
      </x:c>
    </x:row>
    <x:row r="39">
      <x:c r="A39" t="str">
        <x:v>CS-038</x:v>
      </x:c>
      <x:c r="B39" t="str">
        <x:v>Phone</x:v>
      </x:c>
      <x:c r="C39" t="str">
        <x:v>S. Omar</x:v>
      </x:c>
      <x:c r="D39" t="str">
        <x:v>Delivery</x:v>
      </x:c>
      <x:c r="E39" t="str">
        <x:v>Medium</x:v>
      </x:c>
      <x:c r="F39" s="10" t="n">
        <x:v>46274.041666666664</x:v>
      </x:c>
      <x:c r="G39" s="10" t="n">
        <x:v>46275.041666666664</x:v>
      </x:c>
      <x:c r="H39" s="10" t="n">
        <x:v>46274.833333333336</x:v>
      </x:c>
      <x:c r="I39" t="str">
        <x:v>Resolved</x:v>
      </x:c>
      <x:c r="J39" s="12" t="n">
        <x:v>24</x:v>
      </x:c>
      <x:c r="K39" s="12" t="n">
        <x:v>19</x:v>
      </x:c>
      <x:c r="L39" t="str">
        <x:v>Yes</x:v>
      </x:c>
      <x:c r="M39" s="14" t="n">
        <x:v>5</x:v>
      </x:c>
    </x:row>
    <x:row r="40">
      <x:c r="A40" t="str">
        <x:v>CS-039</x:v>
      </x:c>
      <x:c r="B40" t="str">
        <x:v>Chat</x:v>
      </x:c>
      <x:c r="C40" t="str">
        <x:v>N. Ali</x:v>
      </x:c>
      <x:c r="D40" t="str">
        <x:v>Account</x:v>
      </x:c>
      <x:c r="E40" t="str">
        <x:v>High</x:v>
      </x:c>
      <x:c r="F40" s="10" t="n">
        <x:v>46274.25</x:v>
      </x:c>
      <x:c r="G40" s="10" t="n">
        <x:v>46274.75</x:v>
      </x:c>
      <x:c r="H40" s="10" t="n">
        <x:v>46274.791666666664</x:v>
      </x:c>
      <x:c r="I40" t="str">
        <x:v>Resolved</x:v>
      </x:c>
      <x:c r="J40" s="12" t="n">
        <x:v>12</x:v>
      </x:c>
      <x:c r="K40" s="12" t="n">
        <x:v>13</x:v>
      </x:c>
      <x:c r="L40" t="str">
        <x:v>No</x:v>
      </x:c>
      <x:c r="M40" s="14" t="n">
        <x:v>3</x:v>
      </x:c>
    </x:row>
    <x:row r="41">
      <x:c r="A41" t="str">
        <x:v>CS-040</x:v>
      </x:c>
      <x:c r="B41" t="str">
        <x:v>Web</x:v>
      </x:c>
      <x:c r="C41" t="str">
        <x:v>F. Saleh</x:v>
      </x:c>
      <x:c r="D41" t="str">
        <x:v>General</x:v>
      </x:c>
      <x:c r="E41" t="str">
        <x:v>Critical</x:v>
      </x:c>
      <x:c r="F41" s="10" t="n">
        <x:v>46274.458333333336</x:v>
      </x:c>
      <x:c r="G41" s="10" t="n">
        <x:v>46274.625</x:v>
      </x:c>
      <x:c r="H41" s="10" t="n">
        <x:v>46274.666666666664</x:v>
      </x:c>
      <x:c r="I41" t="str">
        <x:v>Resolved</x:v>
      </x:c>
      <x:c r="J41" s="12" t="n">
        <x:v>4</x:v>
      </x:c>
      <x:c r="K41" s="12" t="n">
        <x:v>5</x:v>
      </x:c>
      <x:c r="L41" t="str">
        <x:v>No</x:v>
      </x:c>
      <x:c r="M41" s="14" t="n">
        <x:v>4</x:v>
      </x:c>
    </x:row>
    <x:row r="42">
      <x:c r="A42" t="str">
        <x:v>CS-041</x:v>
      </x:c>
      <x:c r="B42" t="str">
        <x:v>Email</x:v>
      </x:c>
      <x:c r="C42" t="str">
        <x:v>A. Hassan</x:v>
      </x:c>
      <x:c r="D42" t="str">
        <x:v>Billing</x:v>
      </x:c>
      <x:c r="E42" t="str">
        <x:v>Low</x:v>
      </x:c>
      <x:c r="F42" s="10" t="n">
        <x:v>46274.666666666664</x:v>
      </x:c>
      <x:c r="G42" s="10" t="n">
        <x:v>46276.666666666664</x:v>
      </x:c>
      <x:c r="H42" s="10"/>
      <x:c r="I42" t="str">
        <x:v>Open</x:v>
      </x:c>
      <x:c r="J42" s="12" t="n">
        <x:v>48</x:v>
      </x:c>
      <x:c r="K42" s="12"/>
      <x:c r="L42" t="str">
        <x:v>Open</x:v>
      </x:c>
      <x:c r="M42" s="14"/>
    </x:row>
    <x:row r="43">
      <x:c r="A43" t="str">
        <x:v>CS-042</x:v>
      </x:c>
      <x:c r="B43" t="str">
        <x:v>Phone</x:v>
      </x:c>
      <x:c r="C43" t="str">
        <x:v>M. Khan</x:v>
      </x:c>
      <x:c r="D43" t="str">
        <x:v>Technical</x:v>
      </x:c>
      <x:c r="E43" t="str">
        <x:v>Medium</x:v>
      </x:c>
      <x:c r="F43" s="10" t="n">
        <x:v>46274.875</x:v>
      </x:c>
      <x:c r="G43" s="10" t="n">
        <x:v>46275.875</x:v>
      </x:c>
      <x:c r="H43" s="10" t="n">
        <x:v>46275.666666666664</x:v>
      </x:c>
      <x:c r="I43" t="str">
        <x:v>Resolved</x:v>
      </x:c>
      <x:c r="J43" s="12" t="n">
        <x:v>24</x:v>
      </x:c>
      <x:c r="K43" s="12" t="n">
        <x:v>19</x:v>
      </x:c>
      <x:c r="L43" t="str">
        <x:v>Yes</x:v>
      </x:c>
      <x:c r="M43" s="14" t="n">
        <x:v>4</x:v>
      </x:c>
    </x:row>
    <x:row r="44">
      <x:c r="A44" t="str">
        <x:v>CS-043</x:v>
      </x:c>
      <x:c r="B44" t="str">
        <x:v>Chat</x:v>
      </x:c>
      <x:c r="C44" t="str">
        <x:v>S. Omar</x:v>
      </x:c>
      <x:c r="D44" t="str">
        <x:v>Delivery</x:v>
      </x:c>
      <x:c r="E44" t="str">
        <x:v>High</x:v>
      </x:c>
      <x:c r="F44" s="10" t="n">
        <x:v>46275.083333333336</x:v>
      </x:c>
      <x:c r="G44" s="10" t="n">
        <x:v>46275.583333333336</x:v>
      </x:c>
      <x:c r="H44" s="10" t="n">
        <x:v>46275.625</x:v>
      </x:c>
      <x:c r="I44" t="str">
        <x:v>Resolved</x:v>
      </x:c>
      <x:c r="J44" s="12" t="n">
        <x:v>12</x:v>
      </x:c>
      <x:c r="K44" s="12" t="n">
        <x:v>13</x:v>
      </x:c>
      <x:c r="L44" t="str">
        <x:v>No</x:v>
      </x:c>
      <x:c r="M44" s="14" t="n">
        <x:v>5</x:v>
      </x:c>
    </x:row>
    <x:row r="45">
      <x:c r="A45" t="str">
        <x:v>CS-044</x:v>
      </x:c>
      <x:c r="B45" t="str">
        <x:v>Web</x:v>
      </x:c>
      <x:c r="C45" t="str">
        <x:v>N. Ali</x:v>
      </x:c>
      <x:c r="D45" t="str">
        <x:v>Account</x:v>
      </x:c>
      <x:c r="E45" t="str">
        <x:v>Critical</x:v>
      </x:c>
      <x:c r="F45" s="10" t="n">
        <x:v>46275.291666666664</x:v>
      </x:c>
      <x:c r="G45" s="10" t="n">
        <x:v>46275.458333333336</x:v>
      </x:c>
      <x:c r="H45" s="10" t="n">
        <x:v>46275.5</x:v>
      </x:c>
      <x:c r="I45" t="str">
        <x:v>Resolved</x:v>
      </x:c>
      <x:c r="J45" s="12" t="n">
        <x:v>4</x:v>
      </x:c>
      <x:c r="K45" s="12" t="n">
        <x:v>5</x:v>
      </x:c>
      <x:c r="L45" t="str">
        <x:v>No</x:v>
      </x:c>
      <x:c r="M45" s="14" t="n">
        <x:v>3</x:v>
      </x:c>
    </x:row>
    <x:row r="46">
      <x:c r="A46" t="str">
        <x:v>CS-045</x:v>
      </x:c>
      <x:c r="B46" t="str">
        <x:v>Email</x:v>
      </x:c>
      <x:c r="C46" t="str">
        <x:v>F. Saleh</x:v>
      </x:c>
      <x:c r="D46" t="str">
        <x:v>General</x:v>
      </x:c>
      <x:c r="E46" t="str">
        <x:v>Low</x:v>
      </x:c>
      <x:c r="F46" s="10" t="n">
        <x:v>46275.5</x:v>
      </x:c>
      <x:c r="G46" s="10" t="n">
        <x:v>46277.5</x:v>
      </x:c>
      <x:c r="H46" s="10" t="n">
        <x:v>46276.5</x:v>
      </x:c>
      <x:c r="I46" t="str">
        <x:v>Resolved</x:v>
      </x:c>
      <x:c r="J46" s="12" t="n">
        <x:v>48</x:v>
      </x:c>
      <x:c r="K46" s="12" t="n">
        <x:v>24</x:v>
      </x:c>
      <x:c r="L46" t="str">
        <x:v>Yes</x:v>
      </x:c>
      <x:c r="M46" s="14" t="n">
        <x:v>4</x:v>
      </x:c>
    </x:row>
    <x:row r="47">
      <x:c r="A47" t="str">
        <x:v>CS-046</x:v>
      </x:c>
      <x:c r="B47" t="str">
        <x:v>Phone</x:v>
      </x:c>
      <x:c r="C47" t="str">
        <x:v>A. Hassan</x:v>
      </x:c>
      <x:c r="D47" t="str">
        <x:v>Billing</x:v>
      </x:c>
      <x:c r="E47" t="str">
        <x:v>Medium</x:v>
      </x:c>
      <x:c r="F47" s="10" t="n">
        <x:v>46275.708333333336</x:v>
      </x:c>
      <x:c r="G47" s="10" t="n">
        <x:v>46276.708333333336</x:v>
      </x:c>
      <x:c r="H47" s="10"/>
      <x:c r="I47" t="str">
        <x:v>In Progress</x:v>
      </x:c>
      <x:c r="J47" s="12" t="n">
        <x:v>24</x:v>
      </x:c>
      <x:c r="K47" s="12"/>
      <x:c r="L47" t="str">
        <x:v>Open</x:v>
      </x:c>
      <x:c r="M47" s="14"/>
    </x:row>
    <x:row r="48">
      <x:c r="A48" t="str">
        <x:v>CS-047</x:v>
      </x:c>
      <x:c r="B48" t="str">
        <x:v>Chat</x:v>
      </x:c>
      <x:c r="C48" t="str">
        <x:v>M. Khan</x:v>
      </x:c>
      <x:c r="D48" t="str">
        <x:v>Technical</x:v>
      </x:c>
      <x:c r="E48" t="str">
        <x:v>High</x:v>
      </x:c>
      <x:c r="F48" s="10" t="n">
        <x:v>46275.916666666664</x:v>
      </x:c>
      <x:c r="G48" s="10" t="n">
        <x:v>46276.416666666664</x:v>
      </x:c>
      <x:c r="H48" s="10" t="n">
        <x:v>46276.458333333336</x:v>
      </x:c>
      <x:c r="I48" t="str">
        <x:v>Resolved</x:v>
      </x:c>
      <x:c r="J48" s="12" t="n">
        <x:v>12</x:v>
      </x:c>
      <x:c r="K48" s="12" t="n">
        <x:v>13</x:v>
      </x:c>
      <x:c r="L48" t="str">
        <x:v>No</x:v>
      </x:c>
      <x:c r="M48" s="14" t="n">
        <x:v>4</x:v>
      </x:c>
    </x:row>
    <x:row r="49">
      <x:c r="A49" t="str">
        <x:v>CS-048</x:v>
      </x:c>
      <x:c r="B49" t="str">
        <x:v>Web</x:v>
      </x:c>
      <x:c r="C49" t="str">
        <x:v>S. Omar</x:v>
      </x:c>
      <x:c r="D49" t="str">
        <x:v>Delivery</x:v>
      </x:c>
      <x:c r="E49" t="str">
        <x:v>Critical</x:v>
      </x:c>
      <x:c r="F49" s="10" t="n">
        <x:v>46276.125</x:v>
      </x:c>
      <x:c r="G49" s="10" t="n">
        <x:v>46276.291666666664</x:v>
      </x:c>
      <x:c r="H49" s="10" t="n">
        <x:v>46276.333333333336</x:v>
      </x:c>
      <x:c r="I49" t="str">
        <x:v>Resolved</x:v>
      </x:c>
      <x:c r="J49" s="12" t="n">
        <x:v>4</x:v>
      </x:c>
      <x:c r="K49" s="12" t="n">
        <x:v>5</x:v>
      </x:c>
      <x:c r="L49" t="str">
        <x:v>No</x:v>
      </x:c>
      <x:c r="M49" s="14" t="n">
        <x:v>5</x:v>
      </x:c>
    </x:row>
    <x:row r="50">
      <x:c r="A50" t="str">
        <x:v>CS-049</x:v>
      </x:c>
      <x:c r="B50" t="str">
        <x:v>Email</x:v>
      </x:c>
      <x:c r="C50" t="str">
        <x:v>N. Ali</x:v>
      </x:c>
      <x:c r="D50" t="str">
        <x:v>Account</x:v>
      </x:c>
      <x:c r="E50" t="str">
        <x:v>Low</x:v>
      </x:c>
      <x:c r="F50" s="10" t="n">
        <x:v>46276.333333333336</x:v>
      </x:c>
      <x:c r="G50" s="10" t="n">
        <x:v>46278.333333333336</x:v>
      </x:c>
      <x:c r="H50" s="10" t="n">
        <x:v>46277.333333333336</x:v>
      </x:c>
      <x:c r="I50" t="str">
        <x:v>Resolved</x:v>
      </x:c>
      <x:c r="J50" s="12" t="n">
        <x:v>48</x:v>
      </x:c>
      <x:c r="K50" s="12" t="n">
        <x:v>24</x:v>
      </x:c>
      <x:c r="L50" t="str">
        <x:v>Yes</x:v>
      </x:c>
      <x:c r="M50" s="14" t="n">
        <x:v>3</x:v>
      </x:c>
    </x:row>
    <x:row r="51">
      <x:c r="A51" t="str">
        <x:v>CS-050</x:v>
      </x:c>
      <x:c r="B51" t="str">
        <x:v>Phone</x:v>
      </x:c>
      <x:c r="C51" t="str">
        <x:v>F. Saleh</x:v>
      </x:c>
      <x:c r="D51" t="str">
        <x:v>General</x:v>
      </x:c>
      <x:c r="E51" t="str">
        <x:v>Medium</x:v>
      </x:c>
      <x:c r="F51" s="10" t="n">
        <x:v>46276.541666666664</x:v>
      </x:c>
      <x:c r="G51" s="10" t="n">
        <x:v>46277.541666666664</x:v>
      </x:c>
      <x:c r="H51" s="10" t="n">
        <x:v>46277.333333333336</x:v>
      </x:c>
      <x:c r="I51" t="str">
        <x:v>Resolved</x:v>
      </x:c>
      <x:c r="J51" s="12" t="n">
        <x:v>24</x:v>
      </x:c>
      <x:c r="K51" s="12" t="n">
        <x:v>19</x:v>
      </x:c>
      <x:c r="L51" t="str">
        <x:v>Yes</x:v>
      </x:c>
      <x:c r="M51" s="14" t="n">
        <x:v>4</x:v>
      </x:c>
    </x:row>
    <x:row r="52">
      <x:c r="A52" t="str">
        <x:v>CS-051</x:v>
      </x:c>
      <x:c r="B52" t="str">
        <x:v>Chat</x:v>
      </x:c>
      <x:c r="C52" t="str">
        <x:v>A. Hassan</x:v>
      </x:c>
      <x:c r="D52" t="str">
        <x:v>Billing</x:v>
      </x:c>
      <x:c r="E52" t="str">
        <x:v>High</x:v>
      </x:c>
      <x:c r="F52" s="10" t="n">
        <x:v>46276.75</x:v>
      </x:c>
      <x:c r="G52" s="10" t="n">
        <x:v>46277.25</x:v>
      </x:c>
      <x:c r="H52" s="10"/>
      <x:c r="I52" t="str">
        <x:v>Open</x:v>
      </x:c>
      <x:c r="J52" s="12" t="n">
        <x:v>12</x:v>
      </x:c>
      <x:c r="K52" s="12"/>
      <x:c r="L52" t="str">
        <x:v>Open</x:v>
      </x:c>
      <x:c r="M52" s="14"/>
    </x:row>
    <x:row r="53">
      <x:c r="A53" t="str">
        <x:v>CS-052</x:v>
      </x:c>
      <x:c r="B53" t="str">
        <x:v>Web</x:v>
      </x:c>
      <x:c r="C53" t="str">
        <x:v>M. Khan</x:v>
      </x:c>
      <x:c r="D53" t="str">
        <x:v>Technical</x:v>
      </x:c>
      <x:c r="E53" t="str">
        <x:v>Critical</x:v>
      </x:c>
      <x:c r="F53" s="10" t="n">
        <x:v>46276.958333333336</x:v>
      </x:c>
      <x:c r="G53" s="10" t="n">
        <x:v>46277.125</x:v>
      </x:c>
      <x:c r="H53" s="10" t="n">
        <x:v>46277.166666666664</x:v>
      </x:c>
      <x:c r="I53" t="str">
        <x:v>Resolved</x:v>
      </x:c>
      <x:c r="J53" s="12" t="n">
        <x:v>4</x:v>
      </x:c>
      <x:c r="K53" s="12" t="n">
        <x:v>5</x:v>
      </x:c>
      <x:c r="L53" t="str">
        <x:v>No</x:v>
      </x:c>
      <x:c r="M53" s="14" t="n">
        <x:v>4</x:v>
      </x:c>
    </x:row>
    <x:row r="54">
      <x:c r="A54" t="str">
        <x:v>CS-053</x:v>
      </x:c>
      <x:c r="B54" t="str">
        <x:v>Email</x:v>
      </x:c>
      <x:c r="C54" t="str">
        <x:v>S. Omar</x:v>
      </x:c>
      <x:c r="D54" t="str">
        <x:v>Delivery</x:v>
      </x:c>
      <x:c r="E54" t="str">
        <x:v>Low</x:v>
      </x:c>
      <x:c r="F54" s="10" t="n">
        <x:v>46277.166666666664</x:v>
      </x:c>
      <x:c r="G54" s="10" t="n">
        <x:v>46279.166666666664</x:v>
      </x:c>
      <x:c r="H54" s="10" t="n">
        <x:v>46278.166666666664</x:v>
      </x:c>
      <x:c r="I54" t="str">
        <x:v>Resolved</x:v>
      </x:c>
      <x:c r="J54" s="12" t="n">
        <x:v>48</x:v>
      </x:c>
      <x:c r="K54" s="12" t="n">
        <x:v>24</x:v>
      </x:c>
      <x:c r="L54" t="str">
        <x:v>Yes</x:v>
      </x:c>
      <x:c r="M54" s="14" t="n">
        <x:v>5</x:v>
      </x:c>
    </x:row>
    <x:row r="55">
      <x:c r="A55" t="str">
        <x:v>CS-054</x:v>
      </x:c>
      <x:c r="B55" t="str">
        <x:v>Phone</x:v>
      </x:c>
      <x:c r="C55" t="str">
        <x:v>N. Ali</x:v>
      </x:c>
      <x:c r="D55" t="str">
        <x:v>Account</x:v>
      </x:c>
      <x:c r="E55" t="str">
        <x:v>Medium</x:v>
      </x:c>
      <x:c r="F55" s="10" t="n">
        <x:v>46277.375</x:v>
      </x:c>
      <x:c r="G55" s="10" t="n">
        <x:v>46278.375</x:v>
      </x:c>
      <x:c r="H55" s="10" t="n">
        <x:v>46278.166666666664</x:v>
      </x:c>
      <x:c r="I55" t="str">
        <x:v>Resolved</x:v>
      </x:c>
      <x:c r="J55" s="12" t="n">
        <x:v>24</x:v>
      </x:c>
      <x:c r="K55" s="12" t="n">
        <x:v>19</x:v>
      </x:c>
      <x:c r="L55" t="str">
        <x:v>Yes</x:v>
      </x:c>
      <x:c r="M55" s="14" t="n">
        <x:v>3</x:v>
      </x:c>
    </x:row>
    <x:row r="56">
      <x:c r="A56" t="str">
        <x:v>CS-055</x:v>
      </x:c>
      <x:c r="B56" t="str">
        <x:v>Chat</x:v>
      </x:c>
      <x:c r="C56" t="str">
        <x:v>F. Saleh</x:v>
      </x:c>
      <x:c r="D56" t="str">
        <x:v>General</x:v>
      </x:c>
      <x:c r="E56" t="str">
        <x:v>High</x:v>
      </x:c>
      <x:c r="F56" s="10" t="n">
        <x:v>46277.583333333336</x:v>
      </x:c>
      <x:c r="G56" s="10" t="n">
        <x:v>46278.083333333336</x:v>
      </x:c>
      <x:c r="H56" s="10" t="n">
        <x:v>46278.125</x:v>
      </x:c>
      <x:c r="I56" t="str">
        <x:v>Resolved</x:v>
      </x:c>
      <x:c r="J56" s="12" t="n">
        <x:v>12</x:v>
      </x:c>
      <x:c r="K56" s="12" t="n">
        <x:v>13</x:v>
      </x:c>
      <x:c r="L56" t="str">
        <x:v>No</x:v>
      </x:c>
      <x:c r="M56" s="14" t="n">
        <x:v>4</x:v>
      </x:c>
    </x:row>
    <x:row r="57">
      <x:c r="A57" t="str">
        <x:v>CS-056</x:v>
      </x:c>
      <x:c r="B57" t="str">
        <x:v>Web</x:v>
      </x:c>
      <x:c r="C57" t="str">
        <x:v>A. Hassan</x:v>
      </x:c>
      <x:c r="D57" t="str">
        <x:v>Billing</x:v>
      </x:c>
      <x:c r="E57" t="str">
        <x:v>Critical</x:v>
      </x:c>
      <x:c r="F57" s="10" t="n">
        <x:v>46277.791666666664</x:v>
      </x:c>
      <x:c r="G57" s="10" t="n">
        <x:v>46277.958333333336</x:v>
      </x:c>
      <x:c r="H57" s="10"/>
      <x:c r="I57" t="str">
        <x:v>In Progress</x:v>
      </x:c>
      <x:c r="J57" s="12" t="n">
        <x:v>4</x:v>
      </x:c>
      <x:c r="K57" s="12"/>
      <x:c r="L57" t="str">
        <x:v>Open</x:v>
      </x:c>
      <x:c r="M57" s="14"/>
    </x:row>
    <x:row r="58">
      <x:c r="A58" t="str">
        <x:v>CS-057</x:v>
      </x:c>
      <x:c r="B58" t="str">
        <x:v>Email</x:v>
      </x:c>
      <x:c r="C58" t="str">
        <x:v>M. Khan</x:v>
      </x:c>
      <x:c r="D58" t="str">
        <x:v>Technical</x:v>
      </x:c>
      <x:c r="E58" t="str">
        <x:v>Low</x:v>
      </x:c>
      <x:c r="F58" s="10" t="n">
        <x:v>46278</x:v>
      </x:c>
      <x:c r="G58" s="10" t="n">
        <x:v>46280</x:v>
      </x:c>
      <x:c r="H58" s="10" t="n">
        <x:v>46279</x:v>
      </x:c>
      <x:c r="I58" t="str">
        <x:v>Resolved</x:v>
      </x:c>
      <x:c r="J58" s="12" t="n">
        <x:v>48</x:v>
      </x:c>
      <x:c r="K58" s="12" t="n">
        <x:v>24</x:v>
      </x:c>
      <x:c r="L58" t="str">
        <x:v>Yes</x:v>
      </x:c>
      <x:c r="M58" s="14" t="n">
        <x:v>4</x:v>
      </x:c>
    </x:row>
    <x:row r="59">
      <x:c r="A59" t="str">
        <x:v>CS-058</x:v>
      </x:c>
      <x:c r="B59" t="str">
        <x:v>Phone</x:v>
      </x:c>
      <x:c r="C59" t="str">
        <x:v>S. Omar</x:v>
      </x:c>
      <x:c r="D59" t="str">
        <x:v>Delivery</x:v>
      </x:c>
      <x:c r="E59" t="str">
        <x:v>Medium</x:v>
      </x:c>
      <x:c r="F59" s="10" t="n">
        <x:v>46278.208333333336</x:v>
      </x:c>
      <x:c r="G59" s="10" t="n">
        <x:v>46279.208333333336</x:v>
      </x:c>
      <x:c r="H59" s="10" t="n">
        <x:v>46279</x:v>
      </x:c>
      <x:c r="I59" t="str">
        <x:v>Resolved</x:v>
      </x:c>
      <x:c r="J59" s="12" t="n">
        <x:v>24</x:v>
      </x:c>
      <x:c r="K59" s="12" t="n">
        <x:v>19</x:v>
      </x:c>
      <x:c r="L59" t="str">
        <x:v>Yes</x:v>
      </x:c>
      <x:c r="M59" s="14" t="n">
        <x:v>5</x:v>
      </x:c>
    </x:row>
    <x:row r="60">
      <x:c r="A60" t="str">
        <x:v>CS-059</x:v>
      </x:c>
      <x:c r="B60" t="str">
        <x:v>Chat</x:v>
      </x:c>
      <x:c r="C60" t="str">
        <x:v>N. Ali</x:v>
      </x:c>
      <x:c r="D60" t="str">
        <x:v>Account</x:v>
      </x:c>
      <x:c r="E60" t="str">
        <x:v>High</x:v>
      </x:c>
      <x:c r="F60" s="10" t="n">
        <x:v>46278.416666666664</x:v>
      </x:c>
      <x:c r="G60" s="10" t="n">
        <x:v>46278.916666666664</x:v>
      </x:c>
      <x:c r="H60" s="10" t="n">
        <x:v>46278.958333333336</x:v>
      </x:c>
      <x:c r="I60" t="str">
        <x:v>Resolved</x:v>
      </x:c>
      <x:c r="J60" s="12" t="n">
        <x:v>12</x:v>
      </x:c>
      <x:c r="K60" s="12" t="n">
        <x:v>13</x:v>
      </x:c>
      <x:c r="L60" t="str">
        <x:v>No</x:v>
      </x:c>
      <x:c r="M60" s="14" t="n">
        <x:v>3</x:v>
      </x:c>
    </x:row>
    <x:row r="61">
      <x:c r="A61" t="str">
        <x:v>CS-060</x:v>
      </x:c>
      <x:c r="B61" t="str">
        <x:v>Web</x:v>
      </x:c>
      <x:c r="C61" t="str">
        <x:v>F. Saleh</x:v>
      </x:c>
      <x:c r="D61" t="str">
        <x:v>General</x:v>
      </x:c>
      <x:c r="E61" t="str">
        <x:v>Critical</x:v>
      </x:c>
      <x:c r="F61" s="10" t="n">
        <x:v>46278.625</x:v>
      </x:c>
      <x:c r="G61" s="10" t="n">
        <x:v>46278.791666666664</x:v>
      </x:c>
      <x:c r="H61" s="10" t="n">
        <x:v>46278.833333333336</x:v>
      </x:c>
      <x:c r="I61" t="str">
        <x:v>Resolved</x:v>
      </x:c>
      <x:c r="J61" s="12" t="n">
        <x:v>4</x:v>
      </x:c>
      <x:c r="K61" s="12" t="n">
        <x:v>5</x:v>
      </x:c>
      <x:c r="L61" t="str">
        <x:v>No</x:v>
      </x:c>
      <x:c r="M61" s="14" t="n">
        <x:v>4</x:v>
      </x:c>
    </x:row>
  </x:sheetData>
  <x:conditionalFormatting sqref="L2:L61">
    <x:cfRule type="expression" dxfId="0" priority="1">
      <x:formula>L2="No"</x:formula>
    </x:cfRule>
    <x:cfRule type="expression" dxfId="1" priority="2">
      <x:formula>L2="Yes"</x:formula>
    </x:cfRule>
  </x:conditionalFormatting>
  <x:conditionalFormatting sqref="E2:E61">
    <x:cfRule type="expression" dxfId="2" priority="3">
      <x:formula>E2="Critical"</x:formula>
    </x:cfRule>
  </x:conditionalFormatting>
  <x:dataValidations count="4">
    <x:dataValidation type="list" sqref="B2:B100">
      <x:formula1>Lists!$C$2:$C$5</x:formula1>
    </x:dataValidation>
    <x:dataValidation type="list" sqref="D2:D100">
      <x:formula1>Lists!$D$2:$D$6</x:formula1>
    </x:dataValidation>
    <x:dataValidation type="list" sqref="E2:E100">
      <x:formula1>Lists!$B$2:$B$5</x:formula1>
    </x:dataValidation>
    <x:dataValidation type="list" sqref="I2:I100">
      <x:formula1>Lists!$A$2:$A$4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e3cd86e52f4ef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Agent</x:v>
      </x:c>
      <x:c r="B1" s="5" t="str">
        <x:v>Tickets</x:v>
      </x:c>
      <x:c r="C1" s="5" t="str">
        <x:v>Resolved</x:v>
      </x:c>
      <x:c r="D1" s="5" t="str">
        <x:v>SLA Met %</x:v>
      </x:c>
      <x:c r="E1" s="5" t="str">
        <x:v>Avg CSAT</x:v>
      </x:c>
      <x:c r="F1" s="5" t="str">
        <x:v>Open Backlog</x:v>
      </x:c>
    </x:row>
    <x:row r="2">
      <x:c r="A2" t="str">
        <x:v>A. Hassan</x:v>
      </x:c>
      <x:c r="B2" t="n">
        <x:f>COUNTIF(Tickets!$C$2:$C$61,A2)</x:f>
        <x:v>12</x:v>
      </x:c>
      <x:c r="C2" t="n">
        <x:f>COUNTIFS(Tickets!$C$2:$C$61,A2,Tickets!$I$2:$I$61,"Resolved")</x:f>
        <x:v>0</x:v>
      </x:c>
      <x:c r="D2" s="16" t="n">
        <x:f>IF(C2=0,0,COUNTIFS(Tickets!$C$2:$C$61,A2,Tickets!$L$2:$L$61,"Yes")/C2)</x:f>
        <x:v>0</x:v>
      </x:c>
      <x:c r="E2" s="12" t="n">
        <x:f>IFERROR(AVERAGEIF(Tickets!$C$2:$C$61,A2,Tickets!$M$2:$M$61),0)</x:f>
        <x:v>0</x:v>
      </x:c>
      <x:c r="F2" t="n">
        <x:f>COUNTIFS(Tickets!$C$2:$C$61,A2,Tickets!$I$2:$I$61,"&lt;&gt;Resolved")</x:f>
        <x:v>12</x:v>
      </x:c>
    </x:row>
    <x:row r="3">
      <x:c r="A3" t="str">
        <x:v>M. Khan</x:v>
      </x:c>
      <x:c r="B3" t="n">
        <x:f>COUNTIF(Tickets!$C$2:$C$61,A3)</x:f>
        <x:v>12</x:v>
      </x:c>
      <x:c r="C3" t="n">
        <x:f>COUNTIFS(Tickets!$C$2:$C$61,A3,Tickets!$I$2:$I$61,"Resolved")</x:f>
        <x:v>12</x:v>
      </x:c>
      <x:c r="D3" s="16" t="n">
        <x:f>IF(C3=0,0,COUNTIFS(Tickets!$C$2:$C$61,A3,Tickets!$L$2:$L$61,"Yes")/C3)</x:f>
        <x:v>0.5</x:v>
      </x:c>
      <x:c r="E3" s="12" t="n">
        <x:f>IFERROR(AVERAGEIF(Tickets!$C$2:$C$61,A3,Tickets!$M$2:$M$61),0)</x:f>
        <x:v>4</x:v>
      </x:c>
      <x:c r="F3" t="n">
        <x:f>COUNTIFS(Tickets!$C$2:$C$61,A3,Tickets!$I$2:$I$61,"&lt;&gt;Resolved")</x:f>
        <x:v>0</x:v>
      </x:c>
    </x:row>
    <x:row r="4">
      <x:c r="A4" t="str">
        <x:v>S. Omar</x:v>
      </x:c>
      <x:c r="B4" t="n">
        <x:f>COUNTIF(Tickets!$C$2:$C$61,A4)</x:f>
        <x:v>12</x:v>
      </x:c>
      <x:c r="C4" t="n">
        <x:f>COUNTIFS(Tickets!$C$2:$C$61,A4,Tickets!$I$2:$I$61,"Resolved")</x:f>
        <x:v>12</x:v>
      </x:c>
      <x:c r="D4" s="16" t="n">
        <x:f>IF(C4=0,0,COUNTIFS(Tickets!$C$2:$C$61,A4,Tickets!$L$2:$L$61,"Yes")/C4)</x:f>
        <x:v>0.5</x:v>
      </x:c>
      <x:c r="E4" s="12" t="n">
        <x:f>IFERROR(AVERAGEIF(Tickets!$C$2:$C$61,A4,Tickets!$M$2:$M$61),0)</x:f>
        <x:v>5</x:v>
      </x:c>
      <x:c r="F4" t="n">
        <x:f>COUNTIFS(Tickets!$C$2:$C$61,A4,Tickets!$I$2:$I$61,"&lt;&gt;Resolved")</x:f>
        <x:v>0</x:v>
      </x:c>
    </x:row>
    <x:row r="5">
      <x:c r="A5" t="str">
        <x:v>N. Ali</x:v>
      </x:c>
      <x:c r="B5" t="n">
        <x:f>COUNTIF(Tickets!$C$2:$C$61,A5)</x:f>
        <x:v>12</x:v>
      </x:c>
      <x:c r="C5" t="n">
        <x:f>COUNTIFS(Tickets!$C$2:$C$61,A5,Tickets!$I$2:$I$61,"Resolved")</x:f>
        <x:v>12</x:v>
      </x:c>
      <x:c r="D5" s="16" t="n">
        <x:f>IF(C5=0,0,COUNTIFS(Tickets!$C$2:$C$61,A5,Tickets!$L$2:$L$61,"Yes")/C5)</x:f>
        <x:v>0.5</x:v>
      </x:c>
      <x:c r="E5" s="12" t="n">
        <x:f>IFERROR(AVERAGEIF(Tickets!$C$2:$C$61,A5,Tickets!$M$2:$M$61),0)</x:f>
        <x:v>3</x:v>
      </x:c>
      <x:c r="F5" t="n">
        <x:f>COUNTIFS(Tickets!$C$2:$C$61,A5,Tickets!$I$2:$I$61,"&lt;&gt;Resolved")</x:f>
        <x:v>0</x:v>
      </x:c>
    </x:row>
    <x:row r="6">
      <x:c r="A6" t="str">
        <x:v>F. Saleh</x:v>
      </x:c>
      <x:c r="B6" t="n">
        <x:f>COUNTIF(Tickets!$C$2:$C$61,A6)</x:f>
        <x:v>12</x:v>
      </x:c>
      <x:c r="C6" t="n">
        <x:f>COUNTIFS(Tickets!$C$2:$C$61,A6,Tickets!$I$2:$I$61,"Resolved")</x:f>
        <x:v>12</x:v>
      </x:c>
      <x:c r="D6" s="16" t="n">
        <x:f>IF(C6=0,0,COUNTIFS(Tickets!$C$2:$C$61,A6,Tickets!$L$2:$L$61,"Yes")/C6)</x:f>
        <x:v>0.5</x:v>
      </x:c>
      <x:c r="E6" s="12" t="n">
        <x:f>IFERROR(AVERAGEIF(Tickets!$C$2:$C$61,A6,Tickets!$M$2:$M$61),0)</x:f>
        <x:v>4</x:v>
      </x:c>
      <x:c r="F6" t="n">
        <x:f>COUNTIFS(Tickets!$C$2:$C$61,A6,Tickets!$I$2:$I$61,"&lt;&gt;Resolved")</x:f>
        <x:v>0</x:v>
      </x:c>
    </x:row>
  </x:sheetData>
  <x:conditionalFormatting sqref="D2:D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6.880000114440918" hidden="0" customWidth="1"/>
    <x:col min="3" max="3" width="6.75" hidden="0" customWidth="1"/>
    <x:col min="4" max="4" width="7.380000114440918" hidden="0" customWidth="1"/>
  </x:cols>
  <x:sheetData>
    <x:row r="1">
      <x:c r="A1" s="5" t="str">
        <x:v>Status</x:v>
      </x:c>
      <x:c r="B1" s="5" t="str">
        <x:v>Priority</x:v>
      </x:c>
      <x:c r="C1" s="5" t="str">
        <x:v>Channel</x:v>
      </x:c>
      <x:c r="D1" s="5" t="str">
        <x:v>Category</x:v>
      </x:c>
    </x:row>
    <x:row r="2">
      <x:c r="A2" t="str">
        <x:v>Open</x:v>
      </x:c>
      <x:c r="B2" t="str">
        <x:v>Low</x:v>
      </x:c>
      <x:c r="C2" t="str">
        <x:v>Email</x:v>
      </x:c>
      <x:c r="D2" t="str">
        <x:v>Billing</x:v>
      </x:c>
    </x:row>
    <x:row r="3">
      <x:c r="A3" t="str">
        <x:v>In Progress</x:v>
      </x:c>
      <x:c r="B3" t="str">
        <x:v>Medium</x:v>
      </x:c>
      <x:c r="C3" t="str">
        <x:v>Phone</x:v>
      </x:c>
      <x:c r="D3" t="str">
        <x:v>Technical</x:v>
      </x:c>
    </x:row>
    <x:row r="4">
      <x:c r="A4" t="str">
        <x:v>Resolved</x:v>
      </x:c>
      <x:c r="B4" t="str">
        <x:v>High</x:v>
      </x:c>
      <x:c r="C4" t="str">
        <x:v>Chat</x:v>
      </x:c>
      <x:c r="D4" t="str">
        <x:v>Delivery</x:v>
      </x:c>
    </x:row>
    <x:row r="5">
      <x:c r="A5" t="str"/>
      <x:c r="B5" t="str">
        <x:v>Critical</x:v>
      </x:c>
      <x:c r="C5" t="str">
        <x:v>Web</x:v>
      </x:c>
      <x:c r="D5" t="str">
        <x:v>Account</x:v>
      </x:c>
    </x:row>
    <x:row r="6">
      <x:c r="A6" t="str"/>
      <x:c r="B6" t="str"/>
      <x:c r="C6" t="str"/>
      <x:c r="D6" t="str">
        <x:v>General</x:v>
      </x:c>
    </x:row>
  </x:sheetData>
  <x:pageMargins left="0.7" right="0.7" top="0.75" bottom="0.75" header="0.3" footer="0.3"/>
</x:worksheet>
</file>