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llSl\Documents\ra-public-portfolio\excel-projects\"/>
    </mc:Choice>
  </mc:AlternateContent>
  <xr:revisionPtr revIDLastSave="0" documentId="13_ncr:1_{7A76589C-4766-447A-9A22-5209BE7B3F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Tickets" sheetId="2" r:id="rId2"/>
    <sheet name="Agents" sheetId="3" r:id="rId3"/>
    <sheet name="Lists" sheetId="4" r:id="rId4"/>
  </sheets>
  <definedNames>
    <definedName name="_xlnm.Print_Area" localSheetId="0">Dashboard!$A$1:$O$38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3" l="1"/>
  <c r="E6" i="3"/>
  <c r="E23" i="1" s="1"/>
  <c r="C6" i="3"/>
  <c r="B6" i="3"/>
  <c r="B23" i="1" s="1"/>
  <c r="F5" i="3"/>
  <c r="F22" i="1" s="1"/>
  <c r="E5" i="3"/>
  <c r="E22" i="1" s="1"/>
  <c r="D5" i="3"/>
  <c r="D22" i="1" s="1"/>
  <c r="C5" i="3"/>
  <c r="C22" i="1" s="1"/>
  <c r="B5" i="3"/>
  <c r="B22" i="1" s="1"/>
  <c r="F4" i="3"/>
  <c r="F21" i="1" s="1"/>
  <c r="E4" i="3"/>
  <c r="E21" i="1" s="1"/>
  <c r="D4" i="3"/>
  <c r="D21" i="1" s="1"/>
  <c r="C4" i="3"/>
  <c r="C21" i="1" s="1"/>
  <c r="B4" i="3"/>
  <c r="B21" i="1" s="1"/>
  <c r="F3" i="3"/>
  <c r="F20" i="1" s="1"/>
  <c r="E3" i="3"/>
  <c r="E20" i="1" s="1"/>
  <c r="C3" i="3"/>
  <c r="B3" i="3"/>
  <c r="B20" i="1" s="1"/>
  <c r="F2" i="3"/>
  <c r="F19" i="1" s="1"/>
  <c r="E2" i="3"/>
  <c r="E19" i="1" s="1"/>
  <c r="C2" i="3"/>
  <c r="B2" i="3"/>
  <c r="B19" i="1" s="1"/>
  <c r="F23" i="1"/>
  <c r="A23" i="1"/>
  <c r="A22" i="1"/>
  <c r="A21" i="1"/>
  <c r="A20" i="1"/>
  <c r="A19" i="1"/>
  <c r="E15" i="1"/>
  <c r="B15" i="1"/>
  <c r="E14" i="1"/>
  <c r="B14" i="1"/>
  <c r="E13" i="1"/>
  <c r="B13" i="1"/>
  <c r="E12" i="1"/>
  <c r="B12" i="1"/>
  <c r="G8" i="1"/>
  <c r="E8" i="1"/>
  <c r="C8" i="1"/>
  <c r="A8" i="1"/>
  <c r="G5" i="1"/>
  <c r="C5" i="1"/>
  <c r="E5" i="1" s="1"/>
  <c r="A5" i="1"/>
  <c r="C23" i="1" l="1"/>
  <c r="D6" i="3"/>
  <c r="D23" i="1" s="1"/>
  <c r="D3" i="3"/>
  <c r="D20" i="1" s="1"/>
  <c r="C20" i="1"/>
  <c r="D2" i="3"/>
  <c r="D19" i="1" s="1"/>
  <c r="C19" i="1"/>
</calcChain>
</file>

<file path=xl/sharedStrings.xml><?xml version="1.0" encoding="utf-8"?>
<sst xmlns="http://schemas.openxmlformats.org/spreadsheetml/2006/main" count="492" uniqueCount="105">
  <si>
    <t>RA | Customer Service SLA Dashboard</t>
  </si>
  <si>
    <t>Synthetic customer-service analytics project for operational reporting and SLA management</t>
  </si>
  <si>
    <t>Total Tickets</t>
  </si>
  <si>
    <t>Resolved</t>
  </si>
  <si>
    <t>SLA Met %</t>
  </si>
  <si>
    <t>Open Backlog</t>
  </si>
  <si>
    <t>SLA Breaches</t>
  </si>
  <si>
    <t>Critical Open</t>
  </si>
  <si>
    <t>Avg CSAT</t>
  </si>
  <si>
    <t>Agents</t>
  </si>
  <si>
    <t>Channel</t>
  </si>
  <si>
    <t>Tickets</t>
  </si>
  <si>
    <t>Priority</t>
  </si>
  <si>
    <t>Email</t>
  </si>
  <si>
    <t>Low</t>
  </si>
  <si>
    <t>Phone</t>
  </si>
  <si>
    <t>Medium</t>
  </si>
  <si>
    <t>Chat</t>
  </si>
  <si>
    <t>High</t>
  </si>
  <si>
    <t>Web</t>
  </si>
  <si>
    <t>Critical</t>
  </si>
  <si>
    <t>Agent</t>
  </si>
  <si>
    <t>Open</t>
  </si>
  <si>
    <t>Ticket ID</t>
  </si>
  <si>
    <t>Category</t>
  </si>
  <si>
    <t>Opened</t>
  </si>
  <si>
    <t>Due</t>
  </si>
  <si>
    <t>Status</t>
  </si>
  <si>
    <t>SLA Target Hrs</t>
  </si>
  <si>
    <t>Resolution Hrs</t>
  </si>
  <si>
    <t>SLA Met</t>
  </si>
  <si>
    <t>CSAT</t>
  </si>
  <si>
    <t>CS-001</t>
  </si>
  <si>
    <t>Agent A</t>
  </si>
  <si>
    <t>Billing</t>
  </si>
  <si>
    <t>CS-002</t>
  </si>
  <si>
    <t>Agent B</t>
  </si>
  <si>
    <t>Technical</t>
  </si>
  <si>
    <t>Yes</t>
  </si>
  <si>
    <t>CS-003</t>
  </si>
  <si>
    <t>Agent C</t>
  </si>
  <si>
    <t>Delivery</t>
  </si>
  <si>
    <t>No</t>
  </si>
  <si>
    <t>CS-004</t>
  </si>
  <si>
    <t>Agent D</t>
  </si>
  <si>
    <t>Account</t>
  </si>
  <si>
    <t>CS-005</t>
  </si>
  <si>
    <t>Agent E</t>
  </si>
  <si>
    <t>General</t>
  </si>
  <si>
    <t>CS-006</t>
  </si>
  <si>
    <t>In Progress</t>
  </si>
  <si>
    <t>CS-007</t>
  </si>
  <si>
    <t>CS-008</t>
  </si>
  <si>
    <t>CS-009</t>
  </si>
  <si>
    <t>CS-010</t>
  </si>
  <si>
    <t>CS-011</t>
  </si>
  <si>
    <t>CS-012</t>
  </si>
  <si>
    <t>CS-013</t>
  </si>
  <si>
    <t>CS-014</t>
  </si>
  <si>
    <t>CS-015</t>
  </si>
  <si>
    <t>CS-016</t>
  </si>
  <si>
    <t>CS-017</t>
  </si>
  <si>
    <t>CS-018</t>
  </si>
  <si>
    <t>CS-019</t>
  </si>
  <si>
    <t>CS-020</t>
  </si>
  <si>
    <t>CS-021</t>
  </si>
  <si>
    <t>CS-022</t>
  </si>
  <si>
    <t>CS-023</t>
  </si>
  <si>
    <t>CS-024</t>
  </si>
  <si>
    <t>CS-025</t>
  </si>
  <si>
    <t>CS-026</t>
  </si>
  <si>
    <t>CS-027</t>
  </si>
  <si>
    <t>CS-028</t>
  </si>
  <si>
    <t>CS-029</t>
  </si>
  <si>
    <t>CS-030</t>
  </si>
  <si>
    <t>CS-031</t>
  </si>
  <si>
    <t>CS-032</t>
  </si>
  <si>
    <t>CS-033</t>
  </si>
  <si>
    <t>CS-034</t>
  </si>
  <si>
    <t>CS-035</t>
  </si>
  <si>
    <t>CS-036</t>
  </si>
  <si>
    <t>CS-037</t>
  </si>
  <si>
    <t>CS-038</t>
  </si>
  <si>
    <t>CS-039</t>
  </si>
  <si>
    <t>CS-040</t>
  </si>
  <si>
    <t>CS-041</t>
  </si>
  <si>
    <t>CS-042</t>
  </si>
  <si>
    <t>CS-043</t>
  </si>
  <si>
    <t>CS-044</t>
  </si>
  <si>
    <t>CS-045</t>
  </si>
  <si>
    <t>CS-046</t>
  </si>
  <si>
    <t>CS-047</t>
  </si>
  <si>
    <t>CS-048</t>
  </si>
  <si>
    <t>CS-049</t>
  </si>
  <si>
    <t>CS-050</t>
  </si>
  <si>
    <t>CS-051</t>
  </si>
  <si>
    <t>CS-052</t>
  </si>
  <si>
    <t>CS-053</t>
  </si>
  <si>
    <t>CS-054</t>
  </si>
  <si>
    <t>CS-055</t>
  </si>
  <si>
    <t>CS-056</t>
  </si>
  <si>
    <t>CS-057</t>
  </si>
  <si>
    <t>CS-058</t>
  </si>
  <si>
    <t>CS-059</t>
  </si>
  <si>
    <t>CS-060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</si>
</sst>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1F4E78"/>
      <name val="Carlito"/>
    </font>
    <font>
      <i/>
      <sz val="11"/>
      <color rgb="FF666666"/>
      <name val="Carlito"/>
    </font>
    <font>
      <b/>
      <sz val="11"/>
      <name val="Carlito"/>
    </font>
    <font>
      <b/>
      <sz val="18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7F9F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/>
    </xf>
    <xf numFmtId="164" fontId="0" fillId="0" borderId="0" xfId="1" applyNumberFormat="1" applyFont="1"/>
    <xf numFmtId="165" fontId="0" fillId="0" borderId="0" xfId="1" applyNumberFormat="1" applyFont="1"/>
    <xf numFmtId="1" fontId="0" fillId="0" borderId="0" xfId="1" applyNumberFormat="1" applyFont="1"/>
    <xf numFmtId="9" fontId="0" fillId="0" borderId="0" xfId="1" applyNumberFormat="1" applyFont="1"/>
    <xf numFmtId="0" fontId="2" fillId="0" borderId="0" xfId="1" applyFont="1"/>
    <xf numFmtId="0" fontId="3" fillId="0" borderId="0" xfId="1" applyFont="1"/>
    <xf numFmtId="0" fontId="4" fillId="3" borderId="0" xfId="1" applyFont="1" applyFill="1"/>
    <xf numFmtId="0" fontId="5" fillId="4" borderId="0" xfId="1" applyFont="1" applyFill="1" applyAlignment="1">
      <alignment horizontal="center" vertical="center"/>
    </xf>
    <xf numFmtId="9" fontId="5" fillId="4" borderId="0" xfId="1" applyNumberFormat="1" applyFont="1" applyFill="1" applyAlignment="1">
      <alignment horizontal="center" vertical="center"/>
    </xf>
    <xf numFmtId="165" fontId="5" fillId="4" borderId="0" xfId="1" applyNumberFormat="1" applyFont="1" applyFill="1" applyAlignment="1">
      <alignment horizontal="center" vertical="center"/>
    </xf>
  </cellXfs>
  <cellStyles count="2">
    <cellStyle name="Normal" xfId="1" xr:uid="{00000000-0005-0000-0000-000000000000}"/>
    <cellStyle name="عادي" xfId="0" builtinId="0"/>
  </cellStyles>
  <dxfs count="3">
    <dxf>
      <font>
        <b/>
      </font>
      <fill>
        <patternFill>
          <bgColor rgb="FFD9EAD3"/>
        </patternFill>
      </fill>
    </dxf>
    <dxf>
      <font>
        <b/>
      </font>
      <fill>
        <patternFill>
          <bgColor rgb="FFF4CCCC"/>
        </patternFill>
      </fill>
    </dxf>
    <dxf>
      <font>
        <b/>
      </font>
      <fill>
        <patternFill>
          <bgColor rgb="FFFCE8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c:style val="2"/>
  <c:chart>
    <c:title>
      <c:tx>
        <c:rich>
          <a:bodyPr/>
          <a:lstStyle/>
          <a:p>
            <a:r>
              <a:rPr lang="en-US"/>
              <a:t>Tickets by Channel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Tickets</c:v>
          </c:tx>
          <c:invertIfNegative val="1"/>
          <c:cat>
            <c:strRef>
              <c:f>Dashboard!$A$12:$A$15</c:f>
              <c:strCache>
                <c:ptCount val="4"/>
                <c:pt idx="0">
                  <c:v>Email</c:v>
                </c:pt>
                <c:pt idx="1">
                  <c:v>Phone</c:v>
                </c:pt>
                <c:pt idx="2">
                  <c:v>Chat</c:v>
                </c:pt>
                <c:pt idx="3">
                  <c:v>Web</c:v>
                </c:pt>
              </c:strCache>
            </c:strRef>
          </c:cat>
          <c:val>
            <c:numRef>
              <c:f>Dashboard!$B$12:$B$15</c:f>
              <c:numCache>
                <c:formatCode>General</c:formatCode>
                <c:ptCount val="4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6-4EC1-A3ED-DF1C44448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c:style val="2"/>
  <c:chart>
    <c:title>
      <c:tx>
        <c:rich>
          <a:bodyPr/>
          <a:lstStyle/>
          <a:p>
            <a:r>
              <a:rPr lang="en-US"/>
              <a:t>Tickets by Priority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Tickets</c:v>
          </c:tx>
          <c:invertIfNegative val="1"/>
          <c:cat>
            <c:strRef>
              <c:f>Dashboard!$D$12:$D$15</c:f>
              <c:strCache>
                <c:ptCount val="4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  <c:pt idx="3">
                  <c:v>Critical</c:v>
                </c:pt>
              </c:strCache>
            </c:strRef>
          </c:cat>
          <c:val>
            <c:numRef>
              <c:f>Dashboard!$E$12:$E$15</c:f>
              <c:numCache>
                <c:formatCode>General</c:formatCode>
                <c:ptCount val="4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0-425F-88DD-D07553571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10</xdr:row>
      <xdr:rowOff>0</xdr:rowOff>
    </xdr:from>
    <xdr:to>
      <xdr:col>14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24</xdr:row>
      <xdr:rowOff>0</xdr:rowOff>
    </xdr:from>
    <xdr:to>
      <xdr:col>14</xdr:col>
      <xdr:colOff>0</xdr:colOff>
      <xdr:row>37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cketsTable" displayName="TicketsTable" ref="A1:M61" totalsRowShown="0">
  <tableColumns count="13">
    <tableColumn id="1" xr3:uid="{00000000-0010-0000-0000-000001000000}" name="Ticket ID"/>
    <tableColumn id="2" xr3:uid="{00000000-0010-0000-0000-000002000000}" name="Channel"/>
    <tableColumn id="3" xr3:uid="{00000000-0010-0000-0000-000003000000}" name="Agent"/>
    <tableColumn id="4" xr3:uid="{00000000-0010-0000-0000-000004000000}" name="Category"/>
    <tableColumn id="5" xr3:uid="{00000000-0010-0000-0000-000005000000}" name="Priority"/>
    <tableColumn id="6" xr3:uid="{00000000-0010-0000-0000-000006000000}" name="Opened"/>
    <tableColumn id="7" xr3:uid="{00000000-0010-0000-0000-000007000000}" name="Due"/>
    <tableColumn id="8" xr3:uid="{00000000-0010-0000-0000-000008000000}" name="Resolved"/>
    <tableColumn id="9" xr3:uid="{00000000-0010-0000-0000-000009000000}" name="Status"/>
    <tableColumn id="10" xr3:uid="{00000000-0010-0000-0000-00000A000000}" name="SLA Target Hrs"/>
    <tableColumn id="11" xr3:uid="{00000000-0010-0000-0000-00000B000000}" name="Resolution Hrs"/>
    <tableColumn id="12" xr3:uid="{00000000-0010-0000-0000-00000C000000}" name="SLA Met"/>
    <tableColumn id="13" xr3:uid="{00000000-0010-0000-0000-00000D000000}" name="CS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3"/>
  <sheetViews>
    <sheetView showGridLines="0" tabSelected="1" zoomScale="90" zoomScaleNormal="90" workbookViewId="0">
      <selection sqref="A1:H1"/>
    </sheetView>
  </sheetViews>
  <sheetFormatPr defaultRowHeight="13.8"/>
  <cols>
    <col min="1" max="1" width="18" customWidth="1"/>
    <col min="2" max="8" width="13" customWidth="1"/>
  </cols>
  <sheetData>
    <row r="1" spans="1:8" ht="22.8">
      <c r="A1" s="6" t="s">
        <v>0</v>
      </c>
      <c r="B1" s="6"/>
      <c r="C1" s="6"/>
      <c r="D1" s="6"/>
      <c r="E1" s="6"/>
      <c r="F1" s="6"/>
      <c r="G1" s="6"/>
      <c r="H1" s="6"/>
    </row>
    <row r="2" spans="1:8" ht="14.4">
      <c r="A2" s="7" t="s">
        <v>1</v>
      </c>
      <c r="B2" s="7"/>
      <c r="C2" s="7"/>
      <c r="D2" s="7"/>
      <c r="E2" s="7"/>
      <c r="F2" s="7"/>
      <c r="G2" s="7"/>
      <c r="H2" s="7"/>
    </row>
    <row r="4" spans="1:8">
      <c r="A4" s="8" t="s">
        <v>2</v>
      </c>
      <c r="B4" s="8"/>
      <c r="C4" s="8" t="s">
        <v>3</v>
      </c>
      <c r="D4" s="8"/>
      <c r="E4" s="8" t="s">
        <v>4</v>
      </c>
      <c r="F4" s="8"/>
      <c r="G4" s="8" t="s">
        <v>5</v>
      </c>
      <c r="H4" s="8"/>
    </row>
    <row r="5" spans="1:8" ht="22.8">
      <c r="A5" s="9">
        <f>COUNTA(Tickets!$A$2:$A$61)</f>
        <v>60</v>
      </c>
      <c r="B5" s="9"/>
      <c r="C5" s="9">
        <f>COUNTIF(Tickets!$I$2:$I$61,"Resolved")</f>
        <v>48</v>
      </c>
      <c r="D5" s="9"/>
      <c r="E5" s="10">
        <f>IF(C5=0,0,COUNTIF(Tickets!$L$2:$L$61,"Yes")/C5)</f>
        <v>0.5</v>
      </c>
      <c r="F5" s="10"/>
      <c r="G5" s="9">
        <f>COUNTIF(Tickets!$I$2:$I$61,"&lt;&gt;Resolved")</f>
        <v>12</v>
      </c>
      <c r="H5" s="9"/>
    </row>
    <row r="7" spans="1:8">
      <c r="A7" s="8" t="s">
        <v>6</v>
      </c>
      <c r="B7" s="8"/>
      <c r="C7" s="8" t="s">
        <v>7</v>
      </c>
      <c r="D7" s="8"/>
      <c r="E7" s="8" t="s">
        <v>8</v>
      </c>
      <c r="F7" s="8"/>
      <c r="G7" s="8" t="s">
        <v>9</v>
      </c>
      <c r="H7" s="8"/>
    </row>
    <row r="8" spans="1:8" ht="22.8">
      <c r="A8" s="9">
        <f>COUNTIF(Tickets!$L$2:$L$61,"No")</f>
        <v>24</v>
      </c>
      <c r="B8" s="9"/>
      <c r="C8" s="9">
        <f>COUNTIFS(Tickets!$E$2:$E$61,"Critical",Tickets!$I$2:$I$61,"&lt;&gt;Resolved")</f>
        <v>3</v>
      </c>
      <c r="D8" s="9"/>
      <c r="E8" s="11">
        <f>AVERAGE(Tickets!$M$2:$M$61)</f>
        <v>4</v>
      </c>
      <c r="F8" s="11"/>
      <c r="G8" s="9">
        <f>COUNTA(Agents!$A$2:$A$6)</f>
        <v>5</v>
      </c>
      <c r="H8" s="9"/>
    </row>
    <row r="11" spans="1:8">
      <c r="A11" s="1" t="s">
        <v>10</v>
      </c>
      <c r="B11" s="1" t="s">
        <v>11</v>
      </c>
      <c r="D11" s="1" t="s">
        <v>12</v>
      </c>
      <c r="E11" s="1" t="s">
        <v>11</v>
      </c>
    </row>
    <row r="12" spans="1:8">
      <c r="A12" t="s">
        <v>13</v>
      </c>
      <c r="B12">
        <f>COUNTIF(Tickets!$B$2:$B$61,A12)</f>
        <v>15</v>
      </c>
      <c r="D12" t="s">
        <v>14</v>
      </c>
      <c r="E12">
        <f>COUNTIF(Tickets!$E$2:$E$61,D12)</f>
        <v>15</v>
      </c>
    </row>
    <row r="13" spans="1:8">
      <c r="A13" t="s">
        <v>15</v>
      </c>
      <c r="B13">
        <f>COUNTIF(Tickets!$B$2:$B$61,A13)</f>
        <v>15</v>
      </c>
      <c r="D13" t="s">
        <v>16</v>
      </c>
      <c r="E13">
        <f>COUNTIF(Tickets!$E$2:$E$61,D13)</f>
        <v>15</v>
      </c>
    </row>
    <row r="14" spans="1:8">
      <c r="A14" t="s">
        <v>17</v>
      </c>
      <c r="B14">
        <f>COUNTIF(Tickets!$B$2:$B$61,A14)</f>
        <v>15</v>
      </c>
      <c r="D14" t="s">
        <v>18</v>
      </c>
      <c r="E14">
        <f>COUNTIF(Tickets!$E$2:$E$61,D14)</f>
        <v>15</v>
      </c>
    </row>
    <row r="15" spans="1:8">
      <c r="A15" t="s">
        <v>19</v>
      </c>
      <c r="B15">
        <f>COUNTIF(Tickets!$B$2:$B$61,A15)</f>
        <v>15</v>
      </c>
      <c r="D15" t="s">
        <v>20</v>
      </c>
      <c r="E15">
        <f>COUNTIF(Tickets!$E$2:$E$61,D15)</f>
        <v>15</v>
      </c>
    </row>
    <row r="18" spans="1:6">
      <c r="A18" s="1" t="s">
        <v>21</v>
      </c>
      <c r="B18" s="1" t="s">
        <v>11</v>
      </c>
      <c r="C18" s="1" t="s">
        <v>3</v>
      </c>
      <c r="D18" s="1" t="s">
        <v>4</v>
      </c>
      <c r="E18" s="1" t="s">
        <v>8</v>
      </c>
      <c r="F18" s="1" t="s">
        <v>22</v>
      </c>
    </row>
    <row r="19" spans="1:6">
      <c r="A19" t="str">
        <f>Agents!A2</f>
        <v>Agent A</v>
      </c>
      <c r="B19">
        <f>Agents!B2</f>
        <v>12</v>
      </c>
      <c r="C19">
        <f>Agents!C2</f>
        <v>0</v>
      </c>
      <c r="D19" s="5">
        <f>Agents!D2</f>
        <v>0</v>
      </c>
      <c r="E19" s="3">
        <f>Agents!E2</f>
        <v>0</v>
      </c>
      <c r="F19">
        <f>Agents!F2</f>
        <v>12</v>
      </c>
    </row>
    <row r="20" spans="1:6">
      <c r="A20" t="str">
        <f>Agents!A3</f>
        <v>Agent B</v>
      </c>
      <c r="B20">
        <f>Agents!B3</f>
        <v>12</v>
      </c>
      <c r="C20">
        <f>Agents!C3</f>
        <v>12</v>
      </c>
      <c r="D20" s="5">
        <f>Agents!D3</f>
        <v>0.5</v>
      </c>
      <c r="E20" s="3">
        <f>Agents!E3</f>
        <v>4</v>
      </c>
      <c r="F20">
        <f>Agents!F3</f>
        <v>0</v>
      </c>
    </row>
    <row r="21" spans="1:6">
      <c r="A21" t="str">
        <f>Agents!A4</f>
        <v>Agent C</v>
      </c>
      <c r="B21">
        <f>Agents!B4</f>
        <v>12</v>
      </c>
      <c r="C21">
        <f>Agents!C4</f>
        <v>12</v>
      </c>
      <c r="D21" s="5">
        <f>Agents!D4</f>
        <v>0.5</v>
      </c>
      <c r="E21" s="3">
        <f>Agents!E4</f>
        <v>5</v>
      </c>
      <c r="F21">
        <f>Agents!F4</f>
        <v>0</v>
      </c>
    </row>
    <row r="22" spans="1:6">
      <c r="A22" t="str">
        <f>Agents!A5</f>
        <v>Agent D</v>
      </c>
      <c r="B22">
        <f>Agents!B5</f>
        <v>12</v>
      </c>
      <c r="C22">
        <f>Agents!C5</f>
        <v>12</v>
      </c>
      <c r="D22" s="5">
        <f>Agents!D5</f>
        <v>0.5</v>
      </c>
      <c r="E22" s="3">
        <f>Agents!E5</f>
        <v>3</v>
      </c>
      <c r="F22">
        <f>Agents!F5</f>
        <v>0</v>
      </c>
    </row>
    <row r="23" spans="1:6">
      <c r="A23" t="str">
        <f>Agents!A6</f>
        <v>Agent E</v>
      </c>
      <c r="B23">
        <f>Agents!B6</f>
        <v>12</v>
      </c>
      <c r="C23">
        <f>Agents!C6</f>
        <v>12</v>
      </c>
      <c r="D23" s="5">
        <f>Agents!D6</f>
        <v>0.5</v>
      </c>
      <c r="E23" s="3">
        <f>Agents!E6</f>
        <v>4</v>
      </c>
      <c r="F23">
        <f>Agents!F6</f>
        <v>0</v>
      </c>
    </row>
  </sheetData>
  <mergeCells count="18">
    <mergeCell ref="G7:H7"/>
    <mergeCell ref="G8:H8"/>
    <mergeCell ref="A7:B7"/>
    <mergeCell ref="A8:B8"/>
    <mergeCell ref="C7:D7"/>
    <mergeCell ref="C8:D8"/>
    <mergeCell ref="E7:F7"/>
    <mergeCell ref="E8:F8"/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</mergeCells>
  <printOptions horizontalCentered="1"/>
  <pageMargins left="0.25" right="0.25" top="0.35" bottom="0.35" header="0.15" footer="0.15"/>
  <pageSetup paperSize="9" scale="7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1"/>
  <sheetViews>
    <sheetView workbookViewId="0"/>
  </sheetViews>
  <sheetFormatPr defaultRowHeight="13.8"/>
  <cols>
    <col min="1" max="2" width="11" customWidth="1"/>
    <col min="3" max="3" width="15" customWidth="1"/>
    <col min="4" max="4" width="14" customWidth="1"/>
    <col min="5" max="5" width="11" customWidth="1"/>
    <col min="6" max="8" width="18" customWidth="1"/>
    <col min="9" max="12" width="13" customWidth="1"/>
    <col min="13" max="13" width="9" customWidth="1"/>
  </cols>
  <sheetData>
    <row r="1" spans="1:13">
      <c r="A1" s="1" t="s">
        <v>23</v>
      </c>
      <c r="B1" s="1" t="s">
        <v>10</v>
      </c>
      <c r="C1" s="1" t="s">
        <v>21</v>
      </c>
      <c r="D1" s="1" t="s">
        <v>24</v>
      </c>
      <c r="E1" s="1" t="s">
        <v>12</v>
      </c>
      <c r="F1" s="1" t="s">
        <v>25</v>
      </c>
      <c r="G1" s="1" t="s">
        <v>26</v>
      </c>
      <c r="H1" s="1" t="s">
        <v>3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</row>
    <row r="2" spans="1:13">
      <c r="A2" t="s">
        <v>32</v>
      </c>
      <c r="B2" t="s">
        <v>13</v>
      </c>
      <c r="C2" t="s">
        <v>33</v>
      </c>
      <c r="D2" t="s">
        <v>34</v>
      </c>
      <c r="E2" t="s">
        <v>14</v>
      </c>
      <c r="F2" s="2">
        <v>46266.333333333336</v>
      </c>
      <c r="G2" s="2">
        <v>46268.333333333336</v>
      </c>
      <c r="H2" s="2"/>
      <c r="I2" t="s">
        <v>22</v>
      </c>
      <c r="J2" s="3">
        <v>48</v>
      </c>
      <c r="K2" s="3"/>
      <c r="L2" t="s">
        <v>22</v>
      </c>
      <c r="M2" s="4"/>
    </row>
    <row r="3" spans="1:13">
      <c r="A3" t="s">
        <v>35</v>
      </c>
      <c r="B3" t="s">
        <v>15</v>
      </c>
      <c r="C3" t="s">
        <v>36</v>
      </c>
      <c r="D3" t="s">
        <v>37</v>
      </c>
      <c r="E3" t="s">
        <v>16</v>
      </c>
      <c r="F3" s="2">
        <v>46266.541666666664</v>
      </c>
      <c r="G3" s="2">
        <v>46267.541666666664</v>
      </c>
      <c r="H3" s="2">
        <v>46267.333333333336</v>
      </c>
      <c r="I3" t="s">
        <v>3</v>
      </c>
      <c r="J3" s="3">
        <v>24</v>
      </c>
      <c r="K3" s="3">
        <v>19</v>
      </c>
      <c r="L3" t="s">
        <v>38</v>
      </c>
      <c r="M3" s="4">
        <v>4</v>
      </c>
    </row>
    <row r="4" spans="1:13">
      <c r="A4" t="s">
        <v>39</v>
      </c>
      <c r="B4" t="s">
        <v>17</v>
      </c>
      <c r="C4" t="s">
        <v>40</v>
      </c>
      <c r="D4" t="s">
        <v>41</v>
      </c>
      <c r="E4" t="s">
        <v>18</v>
      </c>
      <c r="F4" s="2">
        <v>46266.75</v>
      </c>
      <c r="G4" s="2">
        <v>46267.25</v>
      </c>
      <c r="H4" s="2">
        <v>46267.291666666664</v>
      </c>
      <c r="I4" t="s">
        <v>3</v>
      </c>
      <c r="J4" s="3">
        <v>12</v>
      </c>
      <c r="K4" s="3">
        <v>13</v>
      </c>
      <c r="L4" t="s">
        <v>42</v>
      </c>
      <c r="M4" s="4">
        <v>5</v>
      </c>
    </row>
    <row r="5" spans="1:13">
      <c r="A5" t="s">
        <v>43</v>
      </c>
      <c r="B5" t="s">
        <v>19</v>
      </c>
      <c r="C5" t="s">
        <v>44</v>
      </c>
      <c r="D5" t="s">
        <v>45</v>
      </c>
      <c r="E5" t="s">
        <v>20</v>
      </c>
      <c r="F5" s="2">
        <v>46266.958333333336</v>
      </c>
      <c r="G5" s="2">
        <v>46267.125</v>
      </c>
      <c r="H5" s="2">
        <v>46267.166666666664</v>
      </c>
      <c r="I5" t="s">
        <v>3</v>
      </c>
      <c r="J5" s="3">
        <v>4</v>
      </c>
      <c r="K5" s="3">
        <v>5</v>
      </c>
      <c r="L5" t="s">
        <v>42</v>
      </c>
      <c r="M5" s="4">
        <v>3</v>
      </c>
    </row>
    <row r="6" spans="1:13">
      <c r="A6" t="s">
        <v>46</v>
      </c>
      <c r="B6" t="s">
        <v>13</v>
      </c>
      <c r="C6" t="s">
        <v>47</v>
      </c>
      <c r="D6" t="s">
        <v>48</v>
      </c>
      <c r="E6" t="s">
        <v>14</v>
      </c>
      <c r="F6" s="2">
        <v>46267.166666666664</v>
      </c>
      <c r="G6" s="2">
        <v>46269.166666666664</v>
      </c>
      <c r="H6" s="2">
        <v>46268.166666666664</v>
      </c>
      <c r="I6" t="s">
        <v>3</v>
      </c>
      <c r="J6" s="3">
        <v>48</v>
      </c>
      <c r="K6" s="3">
        <v>24</v>
      </c>
      <c r="L6" t="s">
        <v>38</v>
      </c>
      <c r="M6" s="4">
        <v>4</v>
      </c>
    </row>
    <row r="7" spans="1:13">
      <c r="A7" t="s">
        <v>49</v>
      </c>
      <c r="B7" t="s">
        <v>15</v>
      </c>
      <c r="C7" t="s">
        <v>33</v>
      </c>
      <c r="D7" t="s">
        <v>34</v>
      </c>
      <c r="E7" t="s">
        <v>16</v>
      </c>
      <c r="F7" s="2">
        <v>46267.375</v>
      </c>
      <c r="G7" s="2">
        <v>46268.375</v>
      </c>
      <c r="H7" s="2"/>
      <c r="I7" t="s">
        <v>50</v>
      </c>
      <c r="J7" s="3">
        <v>24</v>
      </c>
      <c r="K7" s="3"/>
      <c r="L7" t="s">
        <v>22</v>
      </c>
      <c r="M7" s="4"/>
    </row>
    <row r="8" spans="1:13">
      <c r="A8" t="s">
        <v>51</v>
      </c>
      <c r="B8" t="s">
        <v>17</v>
      </c>
      <c r="C8" t="s">
        <v>36</v>
      </c>
      <c r="D8" t="s">
        <v>37</v>
      </c>
      <c r="E8" t="s">
        <v>18</v>
      </c>
      <c r="F8" s="2">
        <v>46267.583333333336</v>
      </c>
      <c r="G8" s="2">
        <v>46268.083333333336</v>
      </c>
      <c r="H8" s="2">
        <v>46268.125</v>
      </c>
      <c r="I8" t="s">
        <v>3</v>
      </c>
      <c r="J8" s="3">
        <v>12</v>
      </c>
      <c r="K8" s="3">
        <v>13</v>
      </c>
      <c r="L8" t="s">
        <v>42</v>
      </c>
      <c r="M8" s="4">
        <v>4</v>
      </c>
    </row>
    <row r="9" spans="1:13">
      <c r="A9" t="s">
        <v>52</v>
      </c>
      <c r="B9" t="s">
        <v>19</v>
      </c>
      <c r="C9" t="s">
        <v>40</v>
      </c>
      <c r="D9" t="s">
        <v>41</v>
      </c>
      <c r="E9" t="s">
        <v>20</v>
      </c>
      <c r="F9" s="2">
        <v>46267.791666666664</v>
      </c>
      <c r="G9" s="2">
        <v>46267.958333333336</v>
      </c>
      <c r="H9" s="2">
        <v>46268</v>
      </c>
      <c r="I9" t="s">
        <v>3</v>
      </c>
      <c r="J9" s="3">
        <v>4</v>
      </c>
      <c r="K9" s="3">
        <v>5</v>
      </c>
      <c r="L9" t="s">
        <v>42</v>
      </c>
      <c r="M9" s="4">
        <v>5</v>
      </c>
    </row>
    <row r="10" spans="1:13">
      <c r="A10" t="s">
        <v>53</v>
      </c>
      <c r="B10" t="s">
        <v>13</v>
      </c>
      <c r="C10" t="s">
        <v>44</v>
      </c>
      <c r="D10" t="s">
        <v>45</v>
      </c>
      <c r="E10" t="s">
        <v>14</v>
      </c>
      <c r="F10" s="2">
        <v>46268</v>
      </c>
      <c r="G10" s="2">
        <v>46270</v>
      </c>
      <c r="H10" s="2">
        <v>46269</v>
      </c>
      <c r="I10" t="s">
        <v>3</v>
      </c>
      <c r="J10" s="3">
        <v>48</v>
      </c>
      <c r="K10" s="3">
        <v>24</v>
      </c>
      <c r="L10" t="s">
        <v>38</v>
      </c>
      <c r="M10" s="4">
        <v>3</v>
      </c>
    </row>
    <row r="11" spans="1:13">
      <c r="A11" t="s">
        <v>54</v>
      </c>
      <c r="B11" t="s">
        <v>15</v>
      </c>
      <c r="C11" t="s">
        <v>47</v>
      </c>
      <c r="D11" t="s">
        <v>48</v>
      </c>
      <c r="E11" t="s">
        <v>16</v>
      </c>
      <c r="F11" s="2">
        <v>46268.208333333336</v>
      </c>
      <c r="G11" s="2">
        <v>46269.208333333336</v>
      </c>
      <c r="H11" s="2">
        <v>46269</v>
      </c>
      <c r="I11" t="s">
        <v>3</v>
      </c>
      <c r="J11" s="3">
        <v>24</v>
      </c>
      <c r="K11" s="3">
        <v>19</v>
      </c>
      <c r="L11" t="s">
        <v>38</v>
      </c>
      <c r="M11" s="4">
        <v>4</v>
      </c>
    </row>
    <row r="12" spans="1:13">
      <c r="A12" t="s">
        <v>55</v>
      </c>
      <c r="B12" t="s">
        <v>17</v>
      </c>
      <c r="C12" t="s">
        <v>33</v>
      </c>
      <c r="D12" t="s">
        <v>34</v>
      </c>
      <c r="E12" t="s">
        <v>18</v>
      </c>
      <c r="F12" s="2">
        <v>46268.416666666664</v>
      </c>
      <c r="G12" s="2">
        <v>46268.916666666664</v>
      </c>
      <c r="H12" s="2"/>
      <c r="I12" t="s">
        <v>22</v>
      </c>
      <c r="J12" s="3">
        <v>12</v>
      </c>
      <c r="K12" s="3"/>
      <c r="L12" t="s">
        <v>22</v>
      </c>
      <c r="M12" s="4"/>
    </row>
    <row r="13" spans="1:13">
      <c r="A13" t="s">
        <v>56</v>
      </c>
      <c r="B13" t="s">
        <v>19</v>
      </c>
      <c r="C13" t="s">
        <v>36</v>
      </c>
      <c r="D13" t="s">
        <v>37</v>
      </c>
      <c r="E13" t="s">
        <v>20</v>
      </c>
      <c r="F13" s="2">
        <v>46268.625</v>
      </c>
      <c r="G13" s="2">
        <v>46268.791666666664</v>
      </c>
      <c r="H13" s="2">
        <v>46268.833333333336</v>
      </c>
      <c r="I13" t="s">
        <v>3</v>
      </c>
      <c r="J13" s="3">
        <v>4</v>
      </c>
      <c r="K13" s="3">
        <v>5</v>
      </c>
      <c r="L13" t="s">
        <v>42</v>
      </c>
      <c r="M13" s="4">
        <v>4</v>
      </c>
    </row>
    <row r="14" spans="1:13">
      <c r="A14" t="s">
        <v>57</v>
      </c>
      <c r="B14" t="s">
        <v>13</v>
      </c>
      <c r="C14" t="s">
        <v>40</v>
      </c>
      <c r="D14" t="s">
        <v>41</v>
      </c>
      <c r="E14" t="s">
        <v>14</v>
      </c>
      <c r="F14" s="2">
        <v>46268.833333333336</v>
      </c>
      <c r="G14" s="2">
        <v>46270.833333333336</v>
      </c>
      <c r="H14" s="2">
        <v>46269.833333333336</v>
      </c>
      <c r="I14" t="s">
        <v>3</v>
      </c>
      <c r="J14" s="3">
        <v>48</v>
      </c>
      <c r="K14" s="3">
        <v>24</v>
      </c>
      <c r="L14" t="s">
        <v>38</v>
      </c>
      <c r="M14" s="4">
        <v>5</v>
      </c>
    </row>
    <row r="15" spans="1:13">
      <c r="A15" t="s">
        <v>58</v>
      </c>
      <c r="B15" t="s">
        <v>15</v>
      </c>
      <c r="C15" t="s">
        <v>44</v>
      </c>
      <c r="D15" t="s">
        <v>45</v>
      </c>
      <c r="E15" t="s">
        <v>16</v>
      </c>
      <c r="F15" s="2">
        <v>46269.041666666664</v>
      </c>
      <c r="G15" s="2">
        <v>46270.041666666664</v>
      </c>
      <c r="H15" s="2">
        <v>46269.833333333336</v>
      </c>
      <c r="I15" t="s">
        <v>3</v>
      </c>
      <c r="J15" s="3">
        <v>24</v>
      </c>
      <c r="K15" s="3">
        <v>19</v>
      </c>
      <c r="L15" t="s">
        <v>38</v>
      </c>
      <c r="M15" s="4">
        <v>3</v>
      </c>
    </row>
    <row r="16" spans="1:13">
      <c r="A16" t="s">
        <v>59</v>
      </c>
      <c r="B16" t="s">
        <v>17</v>
      </c>
      <c r="C16" t="s">
        <v>47</v>
      </c>
      <c r="D16" t="s">
        <v>48</v>
      </c>
      <c r="E16" t="s">
        <v>18</v>
      </c>
      <c r="F16" s="2">
        <v>46269.25</v>
      </c>
      <c r="G16" s="2">
        <v>46269.75</v>
      </c>
      <c r="H16" s="2">
        <v>46269.791666666664</v>
      </c>
      <c r="I16" t="s">
        <v>3</v>
      </c>
      <c r="J16" s="3">
        <v>12</v>
      </c>
      <c r="K16" s="3">
        <v>13</v>
      </c>
      <c r="L16" t="s">
        <v>42</v>
      </c>
      <c r="M16" s="4">
        <v>4</v>
      </c>
    </row>
    <row r="17" spans="1:13">
      <c r="A17" t="s">
        <v>60</v>
      </c>
      <c r="B17" t="s">
        <v>19</v>
      </c>
      <c r="C17" t="s">
        <v>33</v>
      </c>
      <c r="D17" t="s">
        <v>34</v>
      </c>
      <c r="E17" t="s">
        <v>20</v>
      </c>
      <c r="F17" s="2">
        <v>46269.458333333336</v>
      </c>
      <c r="G17" s="2">
        <v>46269.625</v>
      </c>
      <c r="H17" s="2"/>
      <c r="I17" t="s">
        <v>50</v>
      </c>
      <c r="J17" s="3">
        <v>4</v>
      </c>
      <c r="K17" s="3"/>
      <c r="L17" t="s">
        <v>22</v>
      </c>
      <c r="M17" s="4"/>
    </row>
    <row r="18" spans="1:13">
      <c r="A18" t="s">
        <v>61</v>
      </c>
      <c r="B18" t="s">
        <v>13</v>
      </c>
      <c r="C18" t="s">
        <v>36</v>
      </c>
      <c r="D18" t="s">
        <v>37</v>
      </c>
      <c r="E18" t="s">
        <v>14</v>
      </c>
      <c r="F18" s="2">
        <v>46269.666666666664</v>
      </c>
      <c r="G18" s="2">
        <v>46271.666666666664</v>
      </c>
      <c r="H18" s="2">
        <v>46270.666666666664</v>
      </c>
      <c r="I18" t="s">
        <v>3</v>
      </c>
      <c r="J18" s="3">
        <v>48</v>
      </c>
      <c r="K18" s="3">
        <v>24</v>
      </c>
      <c r="L18" t="s">
        <v>38</v>
      </c>
      <c r="M18" s="4">
        <v>4</v>
      </c>
    </row>
    <row r="19" spans="1:13">
      <c r="A19" t="s">
        <v>62</v>
      </c>
      <c r="B19" t="s">
        <v>15</v>
      </c>
      <c r="C19" t="s">
        <v>40</v>
      </c>
      <c r="D19" t="s">
        <v>41</v>
      </c>
      <c r="E19" t="s">
        <v>16</v>
      </c>
      <c r="F19" s="2">
        <v>46269.875</v>
      </c>
      <c r="G19" s="2">
        <v>46270.875</v>
      </c>
      <c r="H19" s="2">
        <v>46270.666666666664</v>
      </c>
      <c r="I19" t="s">
        <v>3</v>
      </c>
      <c r="J19" s="3">
        <v>24</v>
      </c>
      <c r="K19" s="3">
        <v>19</v>
      </c>
      <c r="L19" t="s">
        <v>38</v>
      </c>
      <c r="M19" s="4">
        <v>5</v>
      </c>
    </row>
    <row r="20" spans="1:13">
      <c r="A20" t="s">
        <v>63</v>
      </c>
      <c r="B20" t="s">
        <v>17</v>
      </c>
      <c r="C20" t="s">
        <v>44</v>
      </c>
      <c r="D20" t="s">
        <v>45</v>
      </c>
      <c r="E20" t="s">
        <v>18</v>
      </c>
      <c r="F20" s="2">
        <v>46270.083333333336</v>
      </c>
      <c r="G20" s="2">
        <v>46270.583333333336</v>
      </c>
      <c r="H20" s="2">
        <v>46270.625</v>
      </c>
      <c r="I20" t="s">
        <v>3</v>
      </c>
      <c r="J20" s="3">
        <v>12</v>
      </c>
      <c r="K20" s="3">
        <v>13</v>
      </c>
      <c r="L20" t="s">
        <v>42</v>
      </c>
      <c r="M20" s="4">
        <v>3</v>
      </c>
    </row>
    <row r="21" spans="1:13">
      <c r="A21" t="s">
        <v>64</v>
      </c>
      <c r="B21" t="s">
        <v>19</v>
      </c>
      <c r="C21" t="s">
        <v>47</v>
      </c>
      <c r="D21" t="s">
        <v>48</v>
      </c>
      <c r="E21" t="s">
        <v>20</v>
      </c>
      <c r="F21" s="2">
        <v>46270.291666666664</v>
      </c>
      <c r="G21" s="2">
        <v>46270.458333333336</v>
      </c>
      <c r="H21" s="2">
        <v>46270.5</v>
      </c>
      <c r="I21" t="s">
        <v>3</v>
      </c>
      <c r="J21" s="3">
        <v>4</v>
      </c>
      <c r="K21" s="3">
        <v>5</v>
      </c>
      <c r="L21" t="s">
        <v>42</v>
      </c>
      <c r="M21" s="4">
        <v>4</v>
      </c>
    </row>
    <row r="22" spans="1:13">
      <c r="A22" t="s">
        <v>65</v>
      </c>
      <c r="B22" t="s">
        <v>13</v>
      </c>
      <c r="C22" t="s">
        <v>33</v>
      </c>
      <c r="D22" t="s">
        <v>34</v>
      </c>
      <c r="E22" t="s">
        <v>14</v>
      </c>
      <c r="F22" s="2">
        <v>46270.5</v>
      </c>
      <c r="G22" s="2">
        <v>46272.5</v>
      </c>
      <c r="H22" s="2"/>
      <c r="I22" t="s">
        <v>22</v>
      </c>
      <c r="J22" s="3">
        <v>48</v>
      </c>
      <c r="K22" s="3"/>
      <c r="L22" t="s">
        <v>22</v>
      </c>
      <c r="M22" s="4"/>
    </row>
    <row r="23" spans="1:13">
      <c r="A23" t="s">
        <v>66</v>
      </c>
      <c r="B23" t="s">
        <v>15</v>
      </c>
      <c r="C23" t="s">
        <v>36</v>
      </c>
      <c r="D23" t="s">
        <v>37</v>
      </c>
      <c r="E23" t="s">
        <v>16</v>
      </c>
      <c r="F23" s="2">
        <v>46270.708333333336</v>
      </c>
      <c r="G23" s="2">
        <v>46271.708333333336</v>
      </c>
      <c r="H23" s="2">
        <v>46271.5</v>
      </c>
      <c r="I23" t="s">
        <v>3</v>
      </c>
      <c r="J23" s="3">
        <v>24</v>
      </c>
      <c r="K23" s="3">
        <v>19</v>
      </c>
      <c r="L23" t="s">
        <v>38</v>
      </c>
      <c r="M23" s="4">
        <v>4</v>
      </c>
    </row>
    <row r="24" spans="1:13">
      <c r="A24" t="s">
        <v>67</v>
      </c>
      <c r="B24" t="s">
        <v>17</v>
      </c>
      <c r="C24" t="s">
        <v>40</v>
      </c>
      <c r="D24" t="s">
        <v>41</v>
      </c>
      <c r="E24" t="s">
        <v>18</v>
      </c>
      <c r="F24" s="2">
        <v>46270.916666666664</v>
      </c>
      <c r="G24" s="2">
        <v>46271.416666666664</v>
      </c>
      <c r="H24" s="2">
        <v>46271.458333333336</v>
      </c>
      <c r="I24" t="s">
        <v>3</v>
      </c>
      <c r="J24" s="3">
        <v>12</v>
      </c>
      <c r="K24" s="3">
        <v>13</v>
      </c>
      <c r="L24" t="s">
        <v>42</v>
      </c>
      <c r="M24" s="4">
        <v>5</v>
      </c>
    </row>
    <row r="25" spans="1:13">
      <c r="A25" t="s">
        <v>68</v>
      </c>
      <c r="B25" t="s">
        <v>19</v>
      </c>
      <c r="C25" t="s">
        <v>44</v>
      </c>
      <c r="D25" t="s">
        <v>45</v>
      </c>
      <c r="E25" t="s">
        <v>20</v>
      </c>
      <c r="F25" s="2">
        <v>46271.125</v>
      </c>
      <c r="G25" s="2">
        <v>46271.291666666664</v>
      </c>
      <c r="H25" s="2">
        <v>46271.333333333336</v>
      </c>
      <c r="I25" t="s">
        <v>3</v>
      </c>
      <c r="J25" s="3">
        <v>4</v>
      </c>
      <c r="K25" s="3">
        <v>5</v>
      </c>
      <c r="L25" t="s">
        <v>42</v>
      </c>
      <c r="M25" s="4">
        <v>3</v>
      </c>
    </row>
    <row r="26" spans="1:13">
      <c r="A26" t="s">
        <v>69</v>
      </c>
      <c r="B26" t="s">
        <v>13</v>
      </c>
      <c r="C26" t="s">
        <v>47</v>
      </c>
      <c r="D26" t="s">
        <v>48</v>
      </c>
      <c r="E26" t="s">
        <v>14</v>
      </c>
      <c r="F26" s="2">
        <v>46271.333333333336</v>
      </c>
      <c r="G26" s="2">
        <v>46273.333333333336</v>
      </c>
      <c r="H26" s="2">
        <v>46272.333333333336</v>
      </c>
      <c r="I26" t="s">
        <v>3</v>
      </c>
      <c r="J26" s="3">
        <v>48</v>
      </c>
      <c r="K26" s="3">
        <v>24</v>
      </c>
      <c r="L26" t="s">
        <v>38</v>
      </c>
      <c r="M26" s="4">
        <v>4</v>
      </c>
    </row>
    <row r="27" spans="1:13">
      <c r="A27" t="s">
        <v>70</v>
      </c>
      <c r="B27" t="s">
        <v>15</v>
      </c>
      <c r="C27" t="s">
        <v>33</v>
      </c>
      <c r="D27" t="s">
        <v>34</v>
      </c>
      <c r="E27" t="s">
        <v>16</v>
      </c>
      <c r="F27" s="2">
        <v>46271.541666666664</v>
      </c>
      <c r="G27" s="2">
        <v>46272.541666666664</v>
      </c>
      <c r="H27" s="2"/>
      <c r="I27" t="s">
        <v>50</v>
      </c>
      <c r="J27" s="3">
        <v>24</v>
      </c>
      <c r="K27" s="3"/>
      <c r="L27" t="s">
        <v>22</v>
      </c>
      <c r="M27" s="4"/>
    </row>
    <row r="28" spans="1:13">
      <c r="A28" t="s">
        <v>71</v>
      </c>
      <c r="B28" t="s">
        <v>17</v>
      </c>
      <c r="C28" t="s">
        <v>36</v>
      </c>
      <c r="D28" t="s">
        <v>37</v>
      </c>
      <c r="E28" t="s">
        <v>18</v>
      </c>
      <c r="F28" s="2">
        <v>46271.75</v>
      </c>
      <c r="G28" s="2">
        <v>46272.25</v>
      </c>
      <c r="H28" s="2">
        <v>46272.291666666664</v>
      </c>
      <c r="I28" t="s">
        <v>3</v>
      </c>
      <c r="J28" s="3">
        <v>12</v>
      </c>
      <c r="K28" s="3">
        <v>13</v>
      </c>
      <c r="L28" t="s">
        <v>42</v>
      </c>
      <c r="M28" s="4">
        <v>4</v>
      </c>
    </row>
    <row r="29" spans="1:13">
      <c r="A29" t="s">
        <v>72</v>
      </c>
      <c r="B29" t="s">
        <v>19</v>
      </c>
      <c r="C29" t="s">
        <v>40</v>
      </c>
      <c r="D29" t="s">
        <v>41</v>
      </c>
      <c r="E29" t="s">
        <v>20</v>
      </c>
      <c r="F29" s="2">
        <v>46271.958333333336</v>
      </c>
      <c r="G29" s="2">
        <v>46272.125</v>
      </c>
      <c r="H29" s="2">
        <v>46272.166666666664</v>
      </c>
      <c r="I29" t="s">
        <v>3</v>
      </c>
      <c r="J29" s="3">
        <v>4</v>
      </c>
      <c r="K29" s="3">
        <v>5</v>
      </c>
      <c r="L29" t="s">
        <v>42</v>
      </c>
      <c r="M29" s="4">
        <v>5</v>
      </c>
    </row>
    <row r="30" spans="1:13">
      <c r="A30" t="s">
        <v>73</v>
      </c>
      <c r="B30" t="s">
        <v>13</v>
      </c>
      <c r="C30" t="s">
        <v>44</v>
      </c>
      <c r="D30" t="s">
        <v>45</v>
      </c>
      <c r="E30" t="s">
        <v>14</v>
      </c>
      <c r="F30" s="2">
        <v>46272.166666666664</v>
      </c>
      <c r="G30" s="2">
        <v>46274.166666666664</v>
      </c>
      <c r="H30" s="2">
        <v>46273.166666666664</v>
      </c>
      <c r="I30" t="s">
        <v>3</v>
      </c>
      <c r="J30" s="3">
        <v>48</v>
      </c>
      <c r="K30" s="3">
        <v>24</v>
      </c>
      <c r="L30" t="s">
        <v>38</v>
      </c>
      <c r="M30" s="4">
        <v>3</v>
      </c>
    </row>
    <row r="31" spans="1:13">
      <c r="A31" t="s">
        <v>74</v>
      </c>
      <c r="B31" t="s">
        <v>15</v>
      </c>
      <c r="C31" t="s">
        <v>47</v>
      </c>
      <c r="D31" t="s">
        <v>48</v>
      </c>
      <c r="E31" t="s">
        <v>16</v>
      </c>
      <c r="F31" s="2">
        <v>46272.375</v>
      </c>
      <c r="G31" s="2">
        <v>46273.375</v>
      </c>
      <c r="H31" s="2">
        <v>46273.166666666664</v>
      </c>
      <c r="I31" t="s">
        <v>3</v>
      </c>
      <c r="J31" s="3">
        <v>24</v>
      </c>
      <c r="K31" s="3">
        <v>19</v>
      </c>
      <c r="L31" t="s">
        <v>38</v>
      </c>
      <c r="M31" s="4">
        <v>4</v>
      </c>
    </row>
    <row r="32" spans="1:13">
      <c r="A32" t="s">
        <v>75</v>
      </c>
      <c r="B32" t="s">
        <v>17</v>
      </c>
      <c r="C32" t="s">
        <v>33</v>
      </c>
      <c r="D32" t="s">
        <v>34</v>
      </c>
      <c r="E32" t="s">
        <v>18</v>
      </c>
      <c r="F32" s="2">
        <v>46272.583333333336</v>
      </c>
      <c r="G32" s="2">
        <v>46273.083333333336</v>
      </c>
      <c r="H32" s="2"/>
      <c r="I32" t="s">
        <v>22</v>
      </c>
      <c r="J32" s="3">
        <v>12</v>
      </c>
      <c r="K32" s="3"/>
      <c r="L32" t="s">
        <v>22</v>
      </c>
      <c r="M32" s="4"/>
    </row>
    <row r="33" spans="1:13">
      <c r="A33" t="s">
        <v>76</v>
      </c>
      <c r="B33" t="s">
        <v>19</v>
      </c>
      <c r="C33" t="s">
        <v>36</v>
      </c>
      <c r="D33" t="s">
        <v>37</v>
      </c>
      <c r="E33" t="s">
        <v>20</v>
      </c>
      <c r="F33" s="2">
        <v>46272.791666666664</v>
      </c>
      <c r="G33" s="2">
        <v>46272.958333333336</v>
      </c>
      <c r="H33" s="2">
        <v>46273</v>
      </c>
      <c r="I33" t="s">
        <v>3</v>
      </c>
      <c r="J33" s="3">
        <v>4</v>
      </c>
      <c r="K33" s="3">
        <v>5</v>
      </c>
      <c r="L33" t="s">
        <v>42</v>
      </c>
      <c r="M33" s="4">
        <v>4</v>
      </c>
    </row>
    <row r="34" spans="1:13">
      <c r="A34" t="s">
        <v>77</v>
      </c>
      <c r="B34" t="s">
        <v>13</v>
      </c>
      <c r="C34" t="s">
        <v>40</v>
      </c>
      <c r="D34" t="s">
        <v>41</v>
      </c>
      <c r="E34" t="s">
        <v>14</v>
      </c>
      <c r="F34" s="2">
        <v>46273</v>
      </c>
      <c r="G34" s="2">
        <v>46275</v>
      </c>
      <c r="H34" s="2">
        <v>46274</v>
      </c>
      <c r="I34" t="s">
        <v>3</v>
      </c>
      <c r="J34" s="3">
        <v>48</v>
      </c>
      <c r="K34" s="3">
        <v>24</v>
      </c>
      <c r="L34" t="s">
        <v>38</v>
      </c>
      <c r="M34" s="4">
        <v>5</v>
      </c>
    </row>
    <row r="35" spans="1:13">
      <c r="A35" t="s">
        <v>78</v>
      </c>
      <c r="B35" t="s">
        <v>15</v>
      </c>
      <c r="C35" t="s">
        <v>44</v>
      </c>
      <c r="D35" t="s">
        <v>45</v>
      </c>
      <c r="E35" t="s">
        <v>16</v>
      </c>
      <c r="F35" s="2">
        <v>46273.208333333336</v>
      </c>
      <c r="G35" s="2">
        <v>46274.208333333336</v>
      </c>
      <c r="H35" s="2">
        <v>46274</v>
      </c>
      <c r="I35" t="s">
        <v>3</v>
      </c>
      <c r="J35" s="3">
        <v>24</v>
      </c>
      <c r="K35" s="3">
        <v>19</v>
      </c>
      <c r="L35" t="s">
        <v>38</v>
      </c>
      <c r="M35" s="4">
        <v>3</v>
      </c>
    </row>
    <row r="36" spans="1:13">
      <c r="A36" t="s">
        <v>79</v>
      </c>
      <c r="B36" t="s">
        <v>17</v>
      </c>
      <c r="C36" t="s">
        <v>47</v>
      </c>
      <c r="D36" t="s">
        <v>48</v>
      </c>
      <c r="E36" t="s">
        <v>18</v>
      </c>
      <c r="F36" s="2">
        <v>46273.416666666664</v>
      </c>
      <c r="G36" s="2">
        <v>46273.916666666664</v>
      </c>
      <c r="H36" s="2">
        <v>46273.958333333336</v>
      </c>
      <c r="I36" t="s">
        <v>3</v>
      </c>
      <c r="J36" s="3">
        <v>12</v>
      </c>
      <c r="K36" s="3">
        <v>13</v>
      </c>
      <c r="L36" t="s">
        <v>42</v>
      </c>
      <c r="M36" s="4">
        <v>4</v>
      </c>
    </row>
    <row r="37" spans="1:13">
      <c r="A37" t="s">
        <v>80</v>
      </c>
      <c r="B37" t="s">
        <v>19</v>
      </c>
      <c r="C37" t="s">
        <v>33</v>
      </c>
      <c r="D37" t="s">
        <v>34</v>
      </c>
      <c r="E37" t="s">
        <v>20</v>
      </c>
      <c r="F37" s="2">
        <v>46273.625</v>
      </c>
      <c r="G37" s="2">
        <v>46273.791666666664</v>
      </c>
      <c r="H37" s="2"/>
      <c r="I37" t="s">
        <v>50</v>
      </c>
      <c r="J37" s="3">
        <v>4</v>
      </c>
      <c r="K37" s="3"/>
      <c r="L37" t="s">
        <v>22</v>
      </c>
      <c r="M37" s="4"/>
    </row>
    <row r="38" spans="1:13">
      <c r="A38" t="s">
        <v>81</v>
      </c>
      <c r="B38" t="s">
        <v>13</v>
      </c>
      <c r="C38" t="s">
        <v>36</v>
      </c>
      <c r="D38" t="s">
        <v>37</v>
      </c>
      <c r="E38" t="s">
        <v>14</v>
      </c>
      <c r="F38" s="2">
        <v>46273.833333333336</v>
      </c>
      <c r="G38" s="2">
        <v>46275.833333333336</v>
      </c>
      <c r="H38" s="2">
        <v>46274.833333333336</v>
      </c>
      <c r="I38" t="s">
        <v>3</v>
      </c>
      <c r="J38" s="3">
        <v>48</v>
      </c>
      <c r="K38" s="3">
        <v>24</v>
      </c>
      <c r="L38" t="s">
        <v>38</v>
      </c>
      <c r="M38" s="4">
        <v>4</v>
      </c>
    </row>
    <row r="39" spans="1:13">
      <c r="A39" t="s">
        <v>82</v>
      </c>
      <c r="B39" t="s">
        <v>15</v>
      </c>
      <c r="C39" t="s">
        <v>40</v>
      </c>
      <c r="D39" t="s">
        <v>41</v>
      </c>
      <c r="E39" t="s">
        <v>16</v>
      </c>
      <c r="F39" s="2">
        <v>46274.041666666664</v>
      </c>
      <c r="G39" s="2">
        <v>46275.041666666664</v>
      </c>
      <c r="H39" s="2">
        <v>46274.833333333336</v>
      </c>
      <c r="I39" t="s">
        <v>3</v>
      </c>
      <c r="J39" s="3">
        <v>24</v>
      </c>
      <c r="K39" s="3">
        <v>19</v>
      </c>
      <c r="L39" t="s">
        <v>38</v>
      </c>
      <c r="M39" s="4">
        <v>5</v>
      </c>
    </row>
    <row r="40" spans="1:13">
      <c r="A40" t="s">
        <v>83</v>
      </c>
      <c r="B40" t="s">
        <v>17</v>
      </c>
      <c r="C40" t="s">
        <v>44</v>
      </c>
      <c r="D40" t="s">
        <v>45</v>
      </c>
      <c r="E40" t="s">
        <v>18</v>
      </c>
      <c r="F40" s="2">
        <v>46274.25</v>
      </c>
      <c r="G40" s="2">
        <v>46274.75</v>
      </c>
      <c r="H40" s="2">
        <v>46274.791666666664</v>
      </c>
      <c r="I40" t="s">
        <v>3</v>
      </c>
      <c r="J40" s="3">
        <v>12</v>
      </c>
      <c r="K40" s="3">
        <v>13</v>
      </c>
      <c r="L40" t="s">
        <v>42</v>
      </c>
      <c r="M40" s="4">
        <v>3</v>
      </c>
    </row>
    <row r="41" spans="1:13">
      <c r="A41" t="s">
        <v>84</v>
      </c>
      <c r="B41" t="s">
        <v>19</v>
      </c>
      <c r="C41" t="s">
        <v>47</v>
      </c>
      <c r="D41" t="s">
        <v>48</v>
      </c>
      <c r="E41" t="s">
        <v>20</v>
      </c>
      <c r="F41" s="2">
        <v>46274.458333333336</v>
      </c>
      <c r="G41" s="2">
        <v>46274.625</v>
      </c>
      <c r="H41" s="2">
        <v>46274.666666666664</v>
      </c>
      <c r="I41" t="s">
        <v>3</v>
      </c>
      <c r="J41" s="3">
        <v>4</v>
      </c>
      <c r="K41" s="3">
        <v>5</v>
      </c>
      <c r="L41" t="s">
        <v>42</v>
      </c>
      <c r="M41" s="4">
        <v>4</v>
      </c>
    </row>
    <row r="42" spans="1:13">
      <c r="A42" t="s">
        <v>85</v>
      </c>
      <c r="B42" t="s">
        <v>13</v>
      </c>
      <c r="C42" t="s">
        <v>33</v>
      </c>
      <c r="D42" t="s">
        <v>34</v>
      </c>
      <c r="E42" t="s">
        <v>14</v>
      </c>
      <c r="F42" s="2">
        <v>46274.666666666664</v>
      </c>
      <c r="G42" s="2">
        <v>46276.666666666664</v>
      </c>
      <c r="H42" s="2"/>
      <c r="I42" t="s">
        <v>22</v>
      </c>
      <c r="J42" s="3">
        <v>48</v>
      </c>
      <c r="K42" s="3"/>
      <c r="L42" t="s">
        <v>22</v>
      </c>
      <c r="M42" s="4"/>
    </row>
    <row r="43" spans="1:13">
      <c r="A43" t="s">
        <v>86</v>
      </c>
      <c r="B43" t="s">
        <v>15</v>
      </c>
      <c r="C43" t="s">
        <v>36</v>
      </c>
      <c r="D43" t="s">
        <v>37</v>
      </c>
      <c r="E43" t="s">
        <v>16</v>
      </c>
      <c r="F43" s="2">
        <v>46274.875</v>
      </c>
      <c r="G43" s="2">
        <v>46275.875</v>
      </c>
      <c r="H43" s="2">
        <v>46275.666666666664</v>
      </c>
      <c r="I43" t="s">
        <v>3</v>
      </c>
      <c r="J43" s="3">
        <v>24</v>
      </c>
      <c r="K43" s="3">
        <v>19</v>
      </c>
      <c r="L43" t="s">
        <v>38</v>
      </c>
      <c r="M43" s="4">
        <v>4</v>
      </c>
    </row>
    <row r="44" spans="1:13">
      <c r="A44" t="s">
        <v>87</v>
      </c>
      <c r="B44" t="s">
        <v>17</v>
      </c>
      <c r="C44" t="s">
        <v>40</v>
      </c>
      <c r="D44" t="s">
        <v>41</v>
      </c>
      <c r="E44" t="s">
        <v>18</v>
      </c>
      <c r="F44" s="2">
        <v>46275.083333333336</v>
      </c>
      <c r="G44" s="2">
        <v>46275.583333333336</v>
      </c>
      <c r="H44" s="2">
        <v>46275.625</v>
      </c>
      <c r="I44" t="s">
        <v>3</v>
      </c>
      <c r="J44" s="3">
        <v>12</v>
      </c>
      <c r="K44" s="3">
        <v>13</v>
      </c>
      <c r="L44" t="s">
        <v>42</v>
      </c>
      <c r="M44" s="4">
        <v>5</v>
      </c>
    </row>
    <row r="45" spans="1:13">
      <c r="A45" t="s">
        <v>88</v>
      </c>
      <c r="B45" t="s">
        <v>19</v>
      </c>
      <c r="C45" t="s">
        <v>44</v>
      </c>
      <c r="D45" t="s">
        <v>45</v>
      </c>
      <c r="E45" t="s">
        <v>20</v>
      </c>
      <c r="F45" s="2">
        <v>46275.291666666664</v>
      </c>
      <c r="G45" s="2">
        <v>46275.458333333336</v>
      </c>
      <c r="H45" s="2">
        <v>46275.5</v>
      </c>
      <c r="I45" t="s">
        <v>3</v>
      </c>
      <c r="J45" s="3">
        <v>4</v>
      </c>
      <c r="K45" s="3">
        <v>5</v>
      </c>
      <c r="L45" t="s">
        <v>42</v>
      </c>
      <c r="M45" s="4">
        <v>3</v>
      </c>
    </row>
    <row r="46" spans="1:13">
      <c r="A46" t="s">
        <v>89</v>
      </c>
      <c r="B46" t="s">
        <v>13</v>
      </c>
      <c r="C46" t="s">
        <v>47</v>
      </c>
      <c r="D46" t="s">
        <v>48</v>
      </c>
      <c r="E46" t="s">
        <v>14</v>
      </c>
      <c r="F46" s="2">
        <v>46275.5</v>
      </c>
      <c r="G46" s="2">
        <v>46277.5</v>
      </c>
      <c r="H46" s="2">
        <v>46276.5</v>
      </c>
      <c r="I46" t="s">
        <v>3</v>
      </c>
      <c r="J46" s="3">
        <v>48</v>
      </c>
      <c r="K46" s="3">
        <v>24</v>
      </c>
      <c r="L46" t="s">
        <v>38</v>
      </c>
      <c r="M46" s="4">
        <v>4</v>
      </c>
    </row>
    <row r="47" spans="1:13">
      <c r="A47" t="s">
        <v>90</v>
      </c>
      <c r="B47" t="s">
        <v>15</v>
      </c>
      <c r="C47" t="s">
        <v>33</v>
      </c>
      <c r="D47" t="s">
        <v>34</v>
      </c>
      <c r="E47" t="s">
        <v>16</v>
      </c>
      <c r="F47" s="2">
        <v>46275.708333333336</v>
      </c>
      <c r="G47" s="2">
        <v>46276.708333333336</v>
      </c>
      <c r="H47" s="2"/>
      <c r="I47" t="s">
        <v>50</v>
      </c>
      <c r="J47" s="3">
        <v>24</v>
      </c>
      <c r="K47" s="3"/>
      <c r="L47" t="s">
        <v>22</v>
      </c>
      <c r="M47" s="4"/>
    </row>
    <row r="48" spans="1:13">
      <c r="A48" t="s">
        <v>91</v>
      </c>
      <c r="B48" t="s">
        <v>17</v>
      </c>
      <c r="C48" t="s">
        <v>36</v>
      </c>
      <c r="D48" t="s">
        <v>37</v>
      </c>
      <c r="E48" t="s">
        <v>18</v>
      </c>
      <c r="F48" s="2">
        <v>46275.916666666664</v>
      </c>
      <c r="G48" s="2">
        <v>46276.416666666664</v>
      </c>
      <c r="H48" s="2">
        <v>46276.458333333336</v>
      </c>
      <c r="I48" t="s">
        <v>3</v>
      </c>
      <c r="J48" s="3">
        <v>12</v>
      </c>
      <c r="K48" s="3">
        <v>13</v>
      </c>
      <c r="L48" t="s">
        <v>42</v>
      </c>
      <c r="M48" s="4">
        <v>4</v>
      </c>
    </row>
    <row r="49" spans="1:13">
      <c r="A49" t="s">
        <v>92</v>
      </c>
      <c r="B49" t="s">
        <v>19</v>
      </c>
      <c r="C49" t="s">
        <v>40</v>
      </c>
      <c r="D49" t="s">
        <v>41</v>
      </c>
      <c r="E49" t="s">
        <v>20</v>
      </c>
      <c r="F49" s="2">
        <v>46276.125</v>
      </c>
      <c r="G49" s="2">
        <v>46276.291666666664</v>
      </c>
      <c r="H49" s="2">
        <v>46276.333333333336</v>
      </c>
      <c r="I49" t="s">
        <v>3</v>
      </c>
      <c r="J49" s="3">
        <v>4</v>
      </c>
      <c r="K49" s="3">
        <v>5</v>
      </c>
      <c r="L49" t="s">
        <v>42</v>
      </c>
      <c r="M49" s="4">
        <v>5</v>
      </c>
    </row>
    <row r="50" spans="1:13">
      <c r="A50" t="s">
        <v>93</v>
      </c>
      <c r="B50" t="s">
        <v>13</v>
      </c>
      <c r="C50" t="s">
        <v>44</v>
      </c>
      <c r="D50" t="s">
        <v>45</v>
      </c>
      <c r="E50" t="s">
        <v>14</v>
      </c>
      <c r="F50" s="2">
        <v>46276.333333333336</v>
      </c>
      <c r="G50" s="2">
        <v>46278.333333333336</v>
      </c>
      <c r="H50" s="2">
        <v>46277.333333333336</v>
      </c>
      <c r="I50" t="s">
        <v>3</v>
      </c>
      <c r="J50" s="3">
        <v>48</v>
      </c>
      <c r="K50" s="3">
        <v>24</v>
      </c>
      <c r="L50" t="s">
        <v>38</v>
      </c>
      <c r="M50" s="4">
        <v>3</v>
      </c>
    </row>
    <row r="51" spans="1:13">
      <c r="A51" t="s">
        <v>94</v>
      </c>
      <c r="B51" t="s">
        <v>15</v>
      </c>
      <c r="C51" t="s">
        <v>47</v>
      </c>
      <c r="D51" t="s">
        <v>48</v>
      </c>
      <c r="E51" t="s">
        <v>16</v>
      </c>
      <c r="F51" s="2">
        <v>46276.541666666664</v>
      </c>
      <c r="G51" s="2">
        <v>46277.541666666664</v>
      </c>
      <c r="H51" s="2">
        <v>46277.333333333336</v>
      </c>
      <c r="I51" t="s">
        <v>3</v>
      </c>
      <c r="J51" s="3">
        <v>24</v>
      </c>
      <c r="K51" s="3">
        <v>19</v>
      </c>
      <c r="L51" t="s">
        <v>38</v>
      </c>
      <c r="M51" s="4">
        <v>4</v>
      </c>
    </row>
    <row r="52" spans="1:13">
      <c r="A52" t="s">
        <v>95</v>
      </c>
      <c r="B52" t="s">
        <v>17</v>
      </c>
      <c r="C52" t="s">
        <v>33</v>
      </c>
      <c r="D52" t="s">
        <v>34</v>
      </c>
      <c r="E52" t="s">
        <v>18</v>
      </c>
      <c r="F52" s="2">
        <v>46276.75</v>
      </c>
      <c r="G52" s="2">
        <v>46277.25</v>
      </c>
      <c r="H52" s="2"/>
      <c r="I52" t="s">
        <v>22</v>
      </c>
      <c r="J52" s="3">
        <v>12</v>
      </c>
      <c r="K52" s="3"/>
      <c r="L52" t="s">
        <v>22</v>
      </c>
      <c r="M52" s="4"/>
    </row>
    <row r="53" spans="1:13">
      <c r="A53" t="s">
        <v>96</v>
      </c>
      <c r="B53" t="s">
        <v>19</v>
      </c>
      <c r="C53" t="s">
        <v>36</v>
      </c>
      <c r="D53" t="s">
        <v>37</v>
      </c>
      <c r="E53" t="s">
        <v>20</v>
      </c>
      <c r="F53" s="2">
        <v>46276.958333333336</v>
      </c>
      <c r="G53" s="2">
        <v>46277.125</v>
      </c>
      <c r="H53" s="2">
        <v>46277.166666666664</v>
      </c>
      <c r="I53" t="s">
        <v>3</v>
      </c>
      <c r="J53" s="3">
        <v>4</v>
      </c>
      <c r="K53" s="3">
        <v>5</v>
      </c>
      <c r="L53" t="s">
        <v>42</v>
      </c>
      <c r="M53" s="4">
        <v>4</v>
      </c>
    </row>
    <row r="54" spans="1:13">
      <c r="A54" t="s">
        <v>97</v>
      </c>
      <c r="B54" t="s">
        <v>13</v>
      </c>
      <c r="C54" t="s">
        <v>40</v>
      </c>
      <c r="D54" t="s">
        <v>41</v>
      </c>
      <c r="E54" t="s">
        <v>14</v>
      </c>
      <c r="F54" s="2">
        <v>46277.166666666664</v>
      </c>
      <c r="G54" s="2">
        <v>46279.166666666664</v>
      </c>
      <c r="H54" s="2">
        <v>46278.166666666664</v>
      </c>
      <c r="I54" t="s">
        <v>3</v>
      </c>
      <c r="J54" s="3">
        <v>48</v>
      </c>
      <c r="K54" s="3">
        <v>24</v>
      </c>
      <c r="L54" t="s">
        <v>38</v>
      </c>
      <c r="M54" s="4">
        <v>5</v>
      </c>
    </row>
    <row r="55" spans="1:13">
      <c r="A55" t="s">
        <v>98</v>
      </c>
      <c r="B55" t="s">
        <v>15</v>
      </c>
      <c r="C55" t="s">
        <v>44</v>
      </c>
      <c r="D55" t="s">
        <v>45</v>
      </c>
      <c r="E55" t="s">
        <v>16</v>
      </c>
      <c r="F55" s="2">
        <v>46277.375</v>
      </c>
      <c r="G55" s="2">
        <v>46278.375</v>
      </c>
      <c r="H55" s="2">
        <v>46278.166666666664</v>
      </c>
      <c r="I55" t="s">
        <v>3</v>
      </c>
      <c r="J55" s="3">
        <v>24</v>
      </c>
      <c r="K55" s="3">
        <v>19</v>
      </c>
      <c r="L55" t="s">
        <v>38</v>
      </c>
      <c r="M55" s="4">
        <v>3</v>
      </c>
    </row>
    <row r="56" spans="1:13">
      <c r="A56" t="s">
        <v>99</v>
      </c>
      <c r="B56" t="s">
        <v>17</v>
      </c>
      <c r="C56" t="s">
        <v>47</v>
      </c>
      <c r="D56" t="s">
        <v>48</v>
      </c>
      <c r="E56" t="s">
        <v>18</v>
      </c>
      <c r="F56" s="2">
        <v>46277.583333333336</v>
      </c>
      <c r="G56" s="2">
        <v>46278.083333333336</v>
      </c>
      <c r="H56" s="2">
        <v>46278.125</v>
      </c>
      <c r="I56" t="s">
        <v>3</v>
      </c>
      <c r="J56" s="3">
        <v>12</v>
      </c>
      <c r="K56" s="3">
        <v>13</v>
      </c>
      <c r="L56" t="s">
        <v>42</v>
      </c>
      <c r="M56" s="4">
        <v>4</v>
      </c>
    </row>
    <row r="57" spans="1:13">
      <c r="A57" t="s">
        <v>100</v>
      </c>
      <c r="B57" t="s">
        <v>19</v>
      </c>
      <c r="C57" t="s">
        <v>33</v>
      </c>
      <c r="D57" t="s">
        <v>34</v>
      </c>
      <c r="E57" t="s">
        <v>20</v>
      </c>
      <c r="F57" s="2">
        <v>46277.791666666664</v>
      </c>
      <c r="G57" s="2">
        <v>46277.958333333336</v>
      </c>
      <c r="H57" s="2"/>
      <c r="I57" t="s">
        <v>50</v>
      </c>
      <c r="J57" s="3">
        <v>4</v>
      </c>
      <c r="K57" s="3"/>
      <c r="L57" t="s">
        <v>22</v>
      </c>
      <c r="M57" s="4"/>
    </row>
    <row r="58" spans="1:13">
      <c r="A58" t="s">
        <v>101</v>
      </c>
      <c r="B58" t="s">
        <v>13</v>
      </c>
      <c r="C58" t="s">
        <v>36</v>
      </c>
      <c r="D58" t="s">
        <v>37</v>
      </c>
      <c r="E58" t="s">
        <v>14</v>
      </c>
      <c r="F58" s="2">
        <v>46278</v>
      </c>
      <c r="G58" s="2">
        <v>46280</v>
      </c>
      <c r="H58" s="2">
        <v>46279</v>
      </c>
      <c r="I58" t="s">
        <v>3</v>
      </c>
      <c r="J58" s="3">
        <v>48</v>
      </c>
      <c r="K58" s="3">
        <v>24</v>
      </c>
      <c r="L58" t="s">
        <v>38</v>
      </c>
      <c r="M58" s="4">
        <v>4</v>
      </c>
    </row>
    <row r="59" spans="1:13">
      <c r="A59" t="s">
        <v>102</v>
      </c>
      <c r="B59" t="s">
        <v>15</v>
      </c>
      <c r="C59" t="s">
        <v>40</v>
      </c>
      <c r="D59" t="s">
        <v>41</v>
      </c>
      <c r="E59" t="s">
        <v>16</v>
      </c>
      <c r="F59" s="2">
        <v>46278.208333333336</v>
      </c>
      <c r="G59" s="2">
        <v>46279.208333333336</v>
      </c>
      <c r="H59" s="2">
        <v>46279</v>
      </c>
      <c r="I59" t="s">
        <v>3</v>
      </c>
      <c r="J59" s="3">
        <v>24</v>
      </c>
      <c r="K59" s="3">
        <v>19</v>
      </c>
      <c r="L59" t="s">
        <v>38</v>
      </c>
      <c r="M59" s="4">
        <v>5</v>
      </c>
    </row>
    <row r="60" spans="1:13">
      <c r="A60" t="s">
        <v>103</v>
      </c>
      <c r="B60" t="s">
        <v>17</v>
      </c>
      <c r="C60" t="s">
        <v>44</v>
      </c>
      <c r="D60" t="s">
        <v>45</v>
      </c>
      <c r="E60" t="s">
        <v>18</v>
      </c>
      <c r="F60" s="2">
        <v>46278.416666666664</v>
      </c>
      <c r="G60" s="2">
        <v>46278.916666666664</v>
      </c>
      <c r="H60" s="2">
        <v>46278.958333333336</v>
      </c>
      <c r="I60" t="s">
        <v>3</v>
      </c>
      <c r="J60" s="3">
        <v>12</v>
      </c>
      <c r="K60" s="3">
        <v>13</v>
      </c>
      <c r="L60" t="s">
        <v>42</v>
      </c>
      <c r="M60" s="4">
        <v>3</v>
      </c>
    </row>
    <row r="61" spans="1:13">
      <c r="A61" t="s">
        <v>104</v>
      </c>
      <c r="B61" t="s">
        <v>19</v>
      </c>
      <c r="C61" t="s">
        <v>47</v>
      </c>
      <c r="D61" t="s">
        <v>48</v>
      </c>
      <c r="E61" t="s">
        <v>20</v>
      </c>
      <c r="F61" s="2">
        <v>46278.625</v>
      </c>
      <c r="G61" s="2">
        <v>46278.791666666664</v>
      </c>
      <c r="H61" s="2">
        <v>46278.833333333336</v>
      </c>
      <c r="I61" t="s">
        <v>3</v>
      </c>
      <c r="J61" s="3">
        <v>4</v>
      </c>
      <c r="K61" s="3">
        <v>5</v>
      </c>
      <c r="L61" t="s">
        <v>42</v>
      </c>
      <c r="M61" s="4">
        <v>4</v>
      </c>
    </row>
  </sheetData>
  <conditionalFormatting sqref="E2:E61">
    <cfRule type="expression" dxfId="2" priority="3">
      <formula>E2="Critical"</formula>
    </cfRule>
  </conditionalFormatting>
  <conditionalFormatting sqref="L2:L61">
    <cfRule type="expression" dxfId="1" priority="1">
      <formula>L2="No"</formula>
    </cfRule>
    <cfRule type="expression" dxfId="0" priority="2">
      <formula>L2="Yes"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100-000000000000}">
          <x14:formula1>
            <xm:f>Lists!$C$2:$C$5</xm:f>
          </x14:formula1>
          <xm:sqref>B2:B100</xm:sqref>
        </x14:dataValidation>
        <x14:dataValidation type="list" xr:uid="{00000000-0002-0000-0100-000001000000}">
          <x14:formula1>
            <xm:f>Lists!$D$2:$D$6</xm:f>
          </x14:formula1>
          <xm:sqref>D2:D100</xm:sqref>
        </x14:dataValidation>
        <x14:dataValidation type="list" xr:uid="{00000000-0002-0000-0100-000002000000}">
          <x14:formula1>
            <xm:f>Lists!$B$2:$B$5</xm:f>
          </x14:formula1>
          <xm:sqref>E2:E100</xm:sqref>
        </x14:dataValidation>
        <x14:dataValidation type="list" xr:uid="{00000000-0002-0000-0100-000003000000}">
          <x14:formula1>
            <xm:f>Lists!$A$2:$A$4</xm:f>
          </x14:formula1>
          <xm:sqref>I2:I100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/>
  </sheetViews>
  <sheetFormatPr defaultRowHeight="13.8"/>
  <cols>
    <col min="1" max="1" width="18" customWidth="1"/>
    <col min="2" max="6" width="16" customWidth="1"/>
  </cols>
  <sheetData>
    <row r="1" spans="1:6">
      <c r="A1" s="1" t="s">
        <v>21</v>
      </c>
      <c r="B1" s="1" t="s">
        <v>11</v>
      </c>
      <c r="C1" s="1" t="s">
        <v>3</v>
      </c>
      <c r="D1" s="1" t="s">
        <v>4</v>
      </c>
      <c r="E1" s="1" t="s">
        <v>8</v>
      </c>
      <c r="F1" s="1" t="s">
        <v>5</v>
      </c>
    </row>
    <row r="2" spans="1:6">
      <c r="A2" t="s">
        <v>33</v>
      </c>
      <c r="B2">
        <f>COUNTIF(Tickets!$C$2:$C$61,A2)</f>
        <v>12</v>
      </c>
      <c r="C2">
        <f>COUNTIFS(Tickets!$C$2:$C$61,A2,Tickets!$I$2:$I$61,"Resolved")</f>
        <v>0</v>
      </c>
      <c r="D2" s="5">
        <f>IF(C2=0,0,COUNTIFS(Tickets!$C$2:$C$61,A2,Tickets!$L$2:$L$61,"Yes")/C2)</f>
        <v>0</v>
      </c>
      <c r="E2" s="3">
        <f>IFERROR(AVERAGEIF(Tickets!$C$2:$C$61,A2,Tickets!$M$2:$M$61),0)</f>
        <v>0</v>
      </c>
      <c r="F2">
        <f>COUNTIFS(Tickets!$C$2:$C$61,A2,Tickets!$I$2:$I$61,"&lt;&gt;Resolved")</f>
        <v>12</v>
      </c>
    </row>
    <row r="3" spans="1:6">
      <c r="A3" t="s">
        <v>36</v>
      </c>
      <c r="B3">
        <f>COUNTIF(Tickets!$C$2:$C$61,A3)</f>
        <v>12</v>
      </c>
      <c r="C3">
        <f>COUNTIFS(Tickets!$C$2:$C$61,A3,Tickets!$I$2:$I$61,"Resolved")</f>
        <v>12</v>
      </c>
      <c r="D3" s="5">
        <f>IF(C3=0,0,COUNTIFS(Tickets!$C$2:$C$61,A3,Tickets!$L$2:$L$61,"Yes")/C3)</f>
        <v>0.5</v>
      </c>
      <c r="E3" s="3">
        <f>IFERROR(AVERAGEIF(Tickets!$C$2:$C$61,A3,Tickets!$M$2:$M$61),0)</f>
        <v>4</v>
      </c>
      <c r="F3">
        <f>COUNTIFS(Tickets!$C$2:$C$61,A3,Tickets!$I$2:$I$61,"&lt;&gt;Resolved")</f>
        <v>0</v>
      </c>
    </row>
    <row r="4" spans="1:6">
      <c r="A4" t="s">
        <v>40</v>
      </c>
      <c r="B4">
        <f>COUNTIF(Tickets!$C$2:$C$61,A4)</f>
        <v>12</v>
      </c>
      <c r="C4">
        <f>COUNTIFS(Tickets!$C$2:$C$61,A4,Tickets!$I$2:$I$61,"Resolved")</f>
        <v>12</v>
      </c>
      <c r="D4" s="5">
        <f>IF(C4=0,0,COUNTIFS(Tickets!$C$2:$C$61,A4,Tickets!$L$2:$L$61,"Yes")/C4)</f>
        <v>0.5</v>
      </c>
      <c r="E4" s="3">
        <f>IFERROR(AVERAGEIF(Tickets!$C$2:$C$61,A4,Tickets!$M$2:$M$61),0)</f>
        <v>5</v>
      </c>
      <c r="F4">
        <f>COUNTIFS(Tickets!$C$2:$C$61,A4,Tickets!$I$2:$I$61,"&lt;&gt;Resolved")</f>
        <v>0</v>
      </c>
    </row>
    <row r="5" spans="1:6">
      <c r="A5" t="s">
        <v>44</v>
      </c>
      <c r="B5">
        <f>COUNTIF(Tickets!$C$2:$C$61,A5)</f>
        <v>12</v>
      </c>
      <c r="C5">
        <f>COUNTIFS(Tickets!$C$2:$C$61,A5,Tickets!$I$2:$I$61,"Resolved")</f>
        <v>12</v>
      </c>
      <c r="D5" s="5">
        <f>IF(C5=0,0,COUNTIFS(Tickets!$C$2:$C$61,A5,Tickets!$L$2:$L$61,"Yes")/C5)</f>
        <v>0.5</v>
      </c>
      <c r="E5" s="3">
        <f>IFERROR(AVERAGEIF(Tickets!$C$2:$C$61,A5,Tickets!$M$2:$M$61),0)</f>
        <v>3</v>
      </c>
      <c r="F5">
        <f>COUNTIFS(Tickets!$C$2:$C$61,A5,Tickets!$I$2:$I$61,"&lt;&gt;Resolved")</f>
        <v>0</v>
      </c>
    </row>
    <row r="6" spans="1:6">
      <c r="A6" t="s">
        <v>47</v>
      </c>
      <c r="B6">
        <f>COUNTIF(Tickets!$C$2:$C$61,A6)</f>
        <v>12</v>
      </c>
      <c r="C6">
        <f>COUNTIFS(Tickets!$C$2:$C$61,A6,Tickets!$I$2:$I$61,"Resolved")</f>
        <v>12</v>
      </c>
      <c r="D6" s="5">
        <f>IF(C6=0,0,COUNTIFS(Tickets!$C$2:$C$61,A6,Tickets!$L$2:$L$61,"Yes")/C6)</f>
        <v>0.5</v>
      </c>
      <c r="E6" s="3">
        <f>IFERROR(AVERAGEIF(Tickets!$C$2:$C$61,A6,Tickets!$M$2:$M$61),0)</f>
        <v>4</v>
      </c>
      <c r="F6">
        <f>COUNTIFS(Tickets!$C$2:$C$61,A6,Tickets!$I$2:$I$61,"&lt;&gt;Resolved")</f>
        <v>0</v>
      </c>
    </row>
  </sheetData>
  <conditionalFormatting sqref="D2:D6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"/>
  <sheetViews>
    <sheetView workbookViewId="0"/>
  </sheetViews>
  <sheetFormatPr defaultRowHeight="13.8"/>
  <cols>
    <col min="1" max="1" width="8.69921875" customWidth="1"/>
    <col min="2" max="2" width="6.8984375" customWidth="1"/>
    <col min="3" max="3" width="6.69921875" customWidth="1"/>
    <col min="4" max="4" width="7.3984375" customWidth="1"/>
  </cols>
  <sheetData>
    <row r="1" spans="1:4">
      <c r="A1" s="1" t="s">
        <v>27</v>
      </c>
      <c r="B1" s="1" t="s">
        <v>12</v>
      </c>
      <c r="C1" s="1" t="s">
        <v>10</v>
      </c>
      <c r="D1" s="1" t="s">
        <v>24</v>
      </c>
    </row>
    <row r="2" spans="1:4">
      <c r="A2" t="s">
        <v>22</v>
      </c>
      <c r="B2" t="s">
        <v>14</v>
      </c>
      <c r="C2" t="s">
        <v>13</v>
      </c>
      <c r="D2" t="s">
        <v>34</v>
      </c>
    </row>
    <row r="3" spans="1:4">
      <c r="A3" t="s">
        <v>50</v>
      </c>
      <c r="B3" t="s">
        <v>16</v>
      </c>
      <c r="C3" t="s">
        <v>15</v>
      </c>
      <c r="D3" t="s">
        <v>37</v>
      </c>
    </row>
    <row r="4" spans="1:4">
      <c r="A4" t="s">
        <v>3</v>
      </c>
      <c r="B4" t="s">
        <v>18</v>
      </c>
      <c r="C4" t="s">
        <v>17</v>
      </c>
      <c r="D4" t="s">
        <v>41</v>
      </c>
    </row>
    <row r="5" spans="1:4">
      <c r="B5" t="s">
        <v>20</v>
      </c>
      <c r="C5" t="s">
        <v>19</v>
      </c>
      <c r="D5" t="s">
        <v>45</v>
      </c>
    </row>
    <row r="6" spans="1:4">
      <c r="D6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4</vt:i4>
      </vt:variant>
      <vt:variant>
        <vt:lpstr>النطاقات المسماة</vt:lpstr>
      </vt:variant>
      <vt:variant>
        <vt:i4>1</vt:i4>
      </vt:variant>
    </vt:vector>
  </HeadingPairs>
  <TitlesOfParts>
    <vt:vector size="5" baseType="lpstr">
      <vt:lpstr>Dashboard</vt:lpstr>
      <vt:lpstr>Tickets</vt:lpstr>
      <vt:lpstr>Agents</vt:lpstr>
      <vt:lpstr>Lists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rashidalbloushi5@gmail.com</cp:lastModifiedBy>
  <dcterms:modified xsi:type="dcterms:W3CDTF">2026-09-28T22:06:04Z</dcterms:modified>
</cp:coreProperties>
</file>