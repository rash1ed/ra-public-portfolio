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llSl\Documents\ra-public-portfolio\excel-projects\"/>
    </mc:Choice>
  </mc:AlternateContent>
  <xr:revisionPtr revIDLastSave="0" documentId="13_ncr:1_{EBF92029-69DF-4492-8CBB-A356ACB41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rojects" sheetId="2" r:id="rId2"/>
    <sheet name="Tasks" sheetId="3" r:id="rId3"/>
    <sheet name="RAID" sheetId="4" r:id="rId4"/>
    <sheet name="Lists" sheetId="5" r:id="rId5"/>
  </sheets>
  <definedNames>
    <definedName name="_xlnm.Print_Area" localSheetId="0">Dashboard!$A$1:$O$39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3" l="1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7" i="2"/>
  <c r="E25" i="1" s="1"/>
  <c r="J7" i="2"/>
  <c r="I7" i="2"/>
  <c r="C25" i="1" s="1"/>
  <c r="G7" i="2"/>
  <c r="F7" i="2"/>
  <c r="H7" i="2" s="1"/>
  <c r="B25" i="1" s="1"/>
  <c r="K6" i="2"/>
  <c r="E24" i="1" s="1"/>
  <c r="J6" i="2"/>
  <c r="I6" i="2"/>
  <c r="C24" i="1" s="1"/>
  <c r="H6" i="2"/>
  <c r="B24" i="1" s="1"/>
  <c r="G6" i="2"/>
  <c r="F6" i="2"/>
  <c r="K5" i="2"/>
  <c r="E23" i="1" s="1"/>
  <c r="J5" i="2"/>
  <c r="I5" i="2"/>
  <c r="C23" i="1" s="1"/>
  <c r="H5" i="2"/>
  <c r="B23" i="1" s="1"/>
  <c r="G5" i="2"/>
  <c r="F5" i="2"/>
  <c r="K4" i="2"/>
  <c r="E22" i="1" s="1"/>
  <c r="J4" i="2"/>
  <c r="I4" i="2"/>
  <c r="C22" i="1" s="1"/>
  <c r="G4" i="2"/>
  <c r="F4" i="2"/>
  <c r="H4" i="2" s="1"/>
  <c r="B22" i="1" s="1"/>
  <c r="K3" i="2"/>
  <c r="E21" i="1" s="1"/>
  <c r="J3" i="2"/>
  <c r="I3" i="2"/>
  <c r="C21" i="1" s="1"/>
  <c r="G3" i="2"/>
  <c r="F3" i="2"/>
  <c r="H3" i="2" s="1"/>
  <c r="B21" i="1" s="1"/>
  <c r="K2" i="2"/>
  <c r="E20" i="1" s="1"/>
  <c r="J2" i="2"/>
  <c r="I2" i="2"/>
  <c r="C20" i="1" s="1"/>
  <c r="G2" i="2"/>
  <c r="F2" i="2"/>
  <c r="H2" i="2" s="1"/>
  <c r="B20" i="1" s="1"/>
  <c r="A25" i="1"/>
  <c r="A24" i="1"/>
  <c r="A23" i="1"/>
  <c r="A22" i="1"/>
  <c r="A21" i="1"/>
  <c r="A20" i="1"/>
  <c r="E16" i="1"/>
  <c r="B16" i="1"/>
  <c r="E15" i="1"/>
  <c r="B15" i="1"/>
  <c r="E14" i="1"/>
  <c r="B14" i="1"/>
  <c r="E13" i="1"/>
  <c r="B13" i="1"/>
  <c r="G9" i="1"/>
  <c r="C9" i="1"/>
  <c r="A9" i="1"/>
  <c r="G6" i="1"/>
  <c r="C6" i="1"/>
  <c r="A6" i="1"/>
  <c r="E6" i="1" s="1"/>
  <c r="L7" i="2" l="1"/>
  <c r="F25" i="1" s="1"/>
  <c r="D25" i="1"/>
  <c r="L6" i="2"/>
  <c r="F24" i="1" s="1"/>
  <c r="D24" i="1"/>
  <c r="L5" i="2"/>
  <c r="F23" i="1" s="1"/>
  <c r="D23" i="1"/>
  <c r="L4" i="2"/>
  <c r="F22" i="1" s="1"/>
  <c r="D22" i="1"/>
  <c r="L3" i="2"/>
  <c r="F21" i="1" s="1"/>
  <c r="D21" i="1"/>
  <c r="L2" i="2"/>
  <c r="D20" i="1"/>
  <c r="E9" i="1" l="1"/>
  <c r="F20" i="1"/>
</calcChain>
</file>

<file path=xl/sharedStrings.xml><?xml version="1.0" encoding="utf-8"?>
<sst xmlns="http://schemas.openxmlformats.org/spreadsheetml/2006/main" count="426" uniqueCount="137">
  <si>
    <t>RA | Operations &amp; PMO Executive Dashboard</t>
  </si>
  <si>
    <t>Synthetic portfolio project for Operations / PMO / Reporting / Data Analysis</t>
  </si>
  <si>
    <t>As-of Date</t>
  </si>
  <si>
    <t>Data note</t>
  </si>
  <si>
    <t>All records are synthetic and safe for public portfolio use.</t>
  </si>
  <si>
    <t>Total Tasks</t>
  </si>
  <si>
    <t>Completed</t>
  </si>
  <si>
    <t>Completion Rate</t>
  </si>
  <si>
    <t>Overdue</t>
  </si>
  <si>
    <t>Blocked</t>
  </si>
  <si>
    <t>Open RAID</t>
  </si>
  <si>
    <t>Red Projects</t>
  </si>
  <si>
    <t>Projects</t>
  </si>
  <si>
    <t>Status</t>
  </si>
  <si>
    <t>Count</t>
  </si>
  <si>
    <t>Priority</t>
  </si>
  <si>
    <t>Not Started</t>
  </si>
  <si>
    <t>Low</t>
  </si>
  <si>
    <t>In Progress</t>
  </si>
  <si>
    <t>Medium</t>
  </si>
  <si>
    <t>High</t>
  </si>
  <si>
    <t>Critical</t>
  </si>
  <si>
    <t>Project</t>
  </si>
  <si>
    <t>Completion %</t>
  </si>
  <si>
    <t>RAG</t>
  </si>
  <si>
    <t>Sponsor</t>
  </si>
  <si>
    <t>Project Manager</t>
  </si>
  <si>
    <t>Start Date</t>
  </si>
  <si>
    <t>Target Date</t>
  </si>
  <si>
    <t>PMO Governance Upgrade</t>
  </si>
  <si>
    <t>COO</t>
  </si>
  <si>
    <t>Owner A</t>
  </si>
  <si>
    <t>Executive Reporting Pack</t>
  </si>
  <si>
    <t>CFO</t>
  </si>
  <si>
    <t>Owner B</t>
  </si>
  <si>
    <t>Customer Service SLA</t>
  </si>
  <si>
    <t>CX Director</t>
  </si>
  <si>
    <t>Owner C</t>
  </si>
  <si>
    <t>Inventory Accuracy</t>
  </si>
  <si>
    <t>Supply Chain Director</t>
  </si>
  <si>
    <t>Owner D</t>
  </si>
  <si>
    <t>Warehouse Process Improvement</t>
  </si>
  <si>
    <t>Operations Director</t>
  </si>
  <si>
    <t>Owner E</t>
  </si>
  <si>
    <t>Recruitment Analytics</t>
  </si>
  <si>
    <t>HR Director</t>
  </si>
  <si>
    <t>Owner F</t>
  </si>
  <si>
    <t>Task ID</t>
  </si>
  <si>
    <t>Workstream</t>
  </si>
  <si>
    <t>Owner</t>
  </si>
  <si>
    <t>Due Date</t>
  </si>
  <si>
    <t>Completion Date</t>
  </si>
  <si>
    <t>Progress %</t>
  </si>
  <si>
    <t>Days Variance</t>
  </si>
  <si>
    <t>Notes</t>
  </si>
  <si>
    <t>T-001</t>
  </si>
  <si>
    <t>Governance</t>
  </si>
  <si>
    <t>Synthetic portfolio data</t>
  </si>
  <si>
    <t>T-002</t>
  </si>
  <si>
    <t>Reporting</t>
  </si>
  <si>
    <t>T-003</t>
  </si>
  <si>
    <t>Service</t>
  </si>
  <si>
    <t>T-004</t>
  </si>
  <si>
    <t>Inventory</t>
  </si>
  <si>
    <t>T-005</t>
  </si>
  <si>
    <t>Process</t>
  </si>
  <si>
    <t>T-006</t>
  </si>
  <si>
    <t>Analytics</t>
  </si>
  <si>
    <t>T-007</t>
  </si>
  <si>
    <t>T-008</t>
  </si>
  <si>
    <t>T-009</t>
  </si>
  <si>
    <t>T-010</t>
  </si>
  <si>
    <t>T-011</t>
  </si>
  <si>
    <t>T-012</t>
  </si>
  <si>
    <t>T-013</t>
  </si>
  <si>
    <t>T-014</t>
  </si>
  <si>
    <t>T-015</t>
  </si>
  <si>
    <t>T-016</t>
  </si>
  <si>
    <t>T-017</t>
  </si>
  <si>
    <t>T-018</t>
  </si>
  <si>
    <t>T-019</t>
  </si>
  <si>
    <t>T-020</t>
  </si>
  <si>
    <t>T-021</t>
  </si>
  <si>
    <t>T-022</t>
  </si>
  <si>
    <t>T-023</t>
  </si>
  <si>
    <t>T-024</t>
  </si>
  <si>
    <t>T-025</t>
  </si>
  <si>
    <t>T-026</t>
  </si>
  <si>
    <t>T-027</t>
  </si>
  <si>
    <t>T-028</t>
  </si>
  <si>
    <t>T-029</t>
  </si>
  <si>
    <t>T-030</t>
  </si>
  <si>
    <t>T-031</t>
  </si>
  <si>
    <t>T-032</t>
  </si>
  <si>
    <t>T-033</t>
  </si>
  <si>
    <t>T-034</t>
  </si>
  <si>
    <t>T-035</t>
  </si>
  <si>
    <t>T-036</t>
  </si>
  <si>
    <t>RAID ID</t>
  </si>
  <si>
    <t>Type</t>
  </si>
  <si>
    <t>Description</t>
  </si>
  <si>
    <t>Impact</t>
  </si>
  <si>
    <t>Probability</t>
  </si>
  <si>
    <t>Mitigation / Action</t>
  </si>
  <si>
    <t>R-001</t>
  </si>
  <si>
    <t>Risk</t>
  </si>
  <si>
    <t>Decision approvals may delay stage gates</t>
  </si>
  <si>
    <t>Monitoring</t>
  </si>
  <si>
    <t>Weekly escalation review</t>
  </si>
  <si>
    <t>R-002</t>
  </si>
  <si>
    <t>Dependency</t>
  </si>
  <si>
    <t>Source systems refresh timing</t>
  </si>
  <si>
    <t>Open</t>
  </si>
  <si>
    <t>Lock refresh schedule</t>
  </si>
  <si>
    <t>R-003</t>
  </si>
  <si>
    <t>Issue</t>
  </si>
  <si>
    <t>SLA backlog above target</t>
  </si>
  <si>
    <t>Daily recovery queue</t>
  </si>
  <si>
    <t>R-004</t>
  </si>
  <si>
    <t>Cycle count variance remains volatile</t>
  </si>
  <si>
    <t>Root-cause review by SKU class</t>
  </si>
  <si>
    <t>R-005</t>
  </si>
  <si>
    <t>Assumption</t>
  </si>
  <si>
    <t>Shift staffing remains stable</t>
  </si>
  <si>
    <t>Validate weekly roster</t>
  </si>
  <si>
    <t>R-006</t>
  </si>
  <si>
    <t>Candidate source labels inconsistent</t>
  </si>
  <si>
    <t>Normalize source taxonomy</t>
  </si>
  <si>
    <t>R-007</t>
  </si>
  <si>
    <t>Steering committee calendar</t>
  </si>
  <si>
    <t>Closed</t>
  </si>
  <si>
    <t>Calendar confirmed</t>
  </si>
  <si>
    <t>R-008</t>
  </si>
  <si>
    <t>Repeat contacts increasing</t>
  </si>
  <si>
    <t>Introduce first-contact-resolution review</t>
  </si>
  <si>
    <t>RAID Type</t>
  </si>
  <si>
    <t>RAID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</si>
</sst>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1F4E78"/>
      <name val="Carlito"/>
    </font>
    <font>
      <i/>
      <sz val="11"/>
      <color rgb="FF666666"/>
      <name val="Carlito"/>
    </font>
    <font>
      <b/>
      <sz val="11"/>
      <color rgb="FF1F1F1F"/>
      <name val="Carlito"/>
    </font>
    <font>
      <b/>
      <sz val="18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9" fontId="0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wrapText="1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4" fillId="3" borderId="0" xfId="1" applyFont="1" applyFill="1" applyAlignment="1">
      <alignment wrapText="1"/>
    </xf>
    <xf numFmtId="0" fontId="5" fillId="4" borderId="0" xfId="1" applyFont="1" applyFill="1" applyAlignment="1">
      <alignment horizontal="center" vertical="center" wrapText="1"/>
    </xf>
    <xf numFmtId="9" fontId="5" fillId="4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11">
    <dxf>
      <fill>
        <patternFill>
          <bgColor rgb="FFD9EAD3"/>
        </patternFill>
      </fill>
    </dxf>
    <dxf>
      <font>
        <b/>
      </font>
      <fill>
        <patternFill>
          <bgColor rgb="FFFCE8E6"/>
        </patternFill>
      </fill>
    </dxf>
    <dxf>
      <font>
        <b/>
        <color rgb="FFA61B1B"/>
      </font>
      <fill>
        <patternFill>
          <bgColor rgb="FFFCE8E6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en-US"/>
              <a:t>Task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Dashboard!$A$13:$A$16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Completed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7-486B-B42A-B7E3BC92A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en-US"/>
              <a:t>Priority Mix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Dashboard!$D$13:$D$16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Dashboard!$E$13:$E$16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F-496D-8A85-3BA44DC5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jectsTable" displayName="ProjectsTable" ref="A1:L7" totalsRowShown="0">
  <tableColumns count="12">
    <tableColumn id="1" xr3:uid="{00000000-0010-0000-0000-000001000000}" name="Project"/>
    <tableColumn id="2" xr3:uid="{00000000-0010-0000-0000-000002000000}" name="Sponsor"/>
    <tableColumn id="3" xr3:uid="{00000000-0010-0000-0000-000003000000}" name="Project Manager"/>
    <tableColumn id="4" xr3:uid="{00000000-0010-0000-0000-000004000000}" name="Start Date"/>
    <tableColumn id="5" xr3:uid="{00000000-0010-0000-0000-000005000000}" name="Target Date"/>
    <tableColumn id="6" xr3:uid="{00000000-0010-0000-0000-000006000000}" name="Total Tasks"/>
    <tableColumn id="7" xr3:uid="{00000000-0010-0000-0000-000007000000}" name="Completed"/>
    <tableColumn id="8" xr3:uid="{00000000-0010-0000-0000-000008000000}" name="Completion %"/>
    <tableColumn id="9" xr3:uid="{00000000-0010-0000-0000-000009000000}" name="Overdue"/>
    <tableColumn id="10" xr3:uid="{00000000-0010-0000-0000-00000A000000}" name="Blocked"/>
    <tableColumn id="11" xr3:uid="{00000000-0010-0000-0000-00000B000000}" name="Open RAID"/>
    <tableColumn id="12" xr3:uid="{00000000-0010-0000-0000-00000C000000}" name="R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sksTable" displayName="TasksTable" ref="A1:L37" totalsRowShown="0">
  <tableColumns count="12">
    <tableColumn id="1" xr3:uid="{00000000-0010-0000-0100-000001000000}" name="Task ID"/>
    <tableColumn id="2" xr3:uid="{00000000-0010-0000-0100-000002000000}" name="Project"/>
    <tableColumn id="3" xr3:uid="{00000000-0010-0000-0100-000003000000}" name="Workstream"/>
    <tableColumn id="4" xr3:uid="{00000000-0010-0000-0100-000004000000}" name="Owner"/>
    <tableColumn id="5" xr3:uid="{00000000-0010-0000-0100-000005000000}" name="Status"/>
    <tableColumn id="6" xr3:uid="{00000000-0010-0000-0100-000006000000}" name="Priority"/>
    <tableColumn id="7" xr3:uid="{00000000-0010-0000-0100-000007000000}" name="Start Date"/>
    <tableColumn id="8" xr3:uid="{00000000-0010-0000-0100-000008000000}" name="Due Date"/>
    <tableColumn id="9" xr3:uid="{00000000-0010-0000-0100-000009000000}" name="Completion Date"/>
    <tableColumn id="10" xr3:uid="{00000000-0010-0000-0100-00000A000000}" name="Progress %"/>
    <tableColumn id="11" xr3:uid="{00000000-0010-0000-0100-00000B000000}" name="Days Variance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aidTable" displayName="RaidTable" ref="A1:J9" totalsRowShown="0">
  <tableColumns count="10">
    <tableColumn id="1" xr3:uid="{00000000-0010-0000-0200-000001000000}" name="RAID ID"/>
    <tableColumn id="2" xr3:uid="{00000000-0010-0000-0200-000002000000}" name="Project"/>
    <tableColumn id="3" xr3:uid="{00000000-0010-0000-0200-000003000000}" name="Type"/>
    <tableColumn id="4" xr3:uid="{00000000-0010-0000-0200-000004000000}" name="Description"/>
    <tableColumn id="5" xr3:uid="{00000000-0010-0000-0200-000005000000}" name="Owner"/>
    <tableColumn id="6" xr3:uid="{00000000-0010-0000-0200-000006000000}" name="Impact"/>
    <tableColumn id="7" xr3:uid="{00000000-0010-0000-0200-000007000000}" name="Probability"/>
    <tableColumn id="8" xr3:uid="{00000000-0010-0000-0200-000008000000}" name="Status"/>
    <tableColumn id="9" xr3:uid="{00000000-0010-0000-0200-000009000000}" name="Target Date"/>
    <tableColumn id="10" xr3:uid="{00000000-0010-0000-0200-00000A000000}" name="Mitigation /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showGridLines="0" tabSelected="1" zoomScale="90" zoomScaleNormal="90" workbookViewId="0">
      <selection sqref="A1:H1"/>
    </sheetView>
  </sheetViews>
  <sheetFormatPr defaultRowHeight="13.8"/>
  <cols>
    <col min="1" max="1" width="28" customWidth="1"/>
    <col min="2" max="2" width="14" customWidth="1"/>
    <col min="3" max="5" width="12" customWidth="1"/>
    <col min="6" max="6" width="11" customWidth="1"/>
    <col min="7" max="8" width="12" customWidth="1"/>
  </cols>
  <sheetData>
    <row r="1" spans="1:8" ht="22.8">
      <c r="A1" s="8" t="s">
        <v>0</v>
      </c>
      <c r="B1" s="8"/>
      <c r="C1" s="8"/>
      <c r="D1" s="8"/>
      <c r="E1" s="8"/>
      <c r="F1" s="8"/>
      <c r="G1" s="8"/>
      <c r="H1" s="8"/>
    </row>
    <row r="2" spans="1:8" ht="14.4">
      <c r="A2" s="9" t="s">
        <v>1</v>
      </c>
      <c r="B2" s="9"/>
      <c r="C2" s="9"/>
      <c r="D2" s="9"/>
      <c r="E2" s="9"/>
      <c r="F2" s="9"/>
      <c r="G2" s="9"/>
      <c r="H2" s="9"/>
    </row>
    <row r="3" spans="1:8">
      <c r="A3" s="5" t="s">
        <v>2</v>
      </c>
      <c r="B3" s="6">
        <v>46292</v>
      </c>
      <c r="C3" s="5"/>
      <c r="D3" s="5" t="s">
        <v>3</v>
      </c>
      <c r="E3" s="10" t="s">
        <v>4</v>
      </c>
      <c r="F3" s="10"/>
      <c r="G3" s="10"/>
      <c r="H3" s="10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11" t="s">
        <v>5</v>
      </c>
      <c r="B5" s="11"/>
      <c r="C5" s="11" t="s">
        <v>6</v>
      </c>
      <c r="D5" s="11"/>
      <c r="E5" s="11" t="s">
        <v>7</v>
      </c>
      <c r="F5" s="11"/>
      <c r="G5" s="11" t="s">
        <v>8</v>
      </c>
      <c r="H5" s="11"/>
    </row>
    <row r="6" spans="1:8" ht="22.8">
      <c r="A6" s="12">
        <f>COUNTA(Tasks!$A$2:$A$37)</f>
        <v>36</v>
      </c>
      <c r="B6" s="12"/>
      <c r="C6" s="12">
        <f>COUNTIF(Tasks!$E$2:$E$37,"Completed")</f>
        <v>13</v>
      </c>
      <c r="D6" s="12"/>
      <c r="E6" s="13">
        <f>IF(A6=0,0,C6/A6)</f>
        <v>0.3611111111111111</v>
      </c>
      <c r="F6" s="13"/>
      <c r="G6" s="12">
        <f>COUNTIFS(Tasks!$E$2:$E$37,"&lt;&gt;Completed",Tasks!$H$2:$H$37,"&lt;"&amp;$B$3)</f>
        <v>21</v>
      </c>
      <c r="H6" s="12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11" t="s">
        <v>9</v>
      </c>
      <c r="B8" s="11"/>
      <c r="C8" s="11" t="s">
        <v>10</v>
      </c>
      <c r="D8" s="11"/>
      <c r="E8" s="11" t="s">
        <v>11</v>
      </c>
      <c r="F8" s="11"/>
      <c r="G8" s="11" t="s">
        <v>12</v>
      </c>
      <c r="H8" s="11"/>
    </row>
    <row r="9" spans="1:8" ht="22.8">
      <c r="A9" s="12">
        <f>COUNTIF(Tasks!$E$2:$E$37,"Blocked")</f>
        <v>5</v>
      </c>
      <c r="B9" s="12"/>
      <c r="C9" s="12">
        <f>COUNTIFS(RAID!$H$2:$H$9,"&lt;&gt;Closed",RAID!$H$2:$H$9,"&lt;&gt;")</f>
        <v>7</v>
      </c>
      <c r="D9" s="12"/>
      <c r="E9" s="12">
        <f>COUNTIF(Projects!$L$2:$L$7,"Red")</f>
        <v>6</v>
      </c>
      <c r="F9" s="12"/>
      <c r="G9" s="12">
        <f>COUNTA(Projects!$A$2:$A$7)</f>
        <v>6</v>
      </c>
      <c r="H9" s="12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4" t="s">
        <v>13</v>
      </c>
      <c r="B12" s="4" t="s">
        <v>14</v>
      </c>
      <c r="C12" s="5"/>
      <c r="D12" s="4" t="s">
        <v>15</v>
      </c>
      <c r="E12" s="4" t="s">
        <v>14</v>
      </c>
      <c r="F12" s="5"/>
      <c r="G12" s="5"/>
      <c r="H12" s="5"/>
    </row>
    <row r="13" spans="1:8">
      <c r="A13" s="5" t="s">
        <v>16</v>
      </c>
      <c r="B13" s="5">
        <f>COUNTIF(Tasks!$E$2:$E$37,A13)</f>
        <v>6</v>
      </c>
      <c r="C13" s="5"/>
      <c r="D13" s="5" t="s">
        <v>17</v>
      </c>
      <c r="E13" s="5">
        <f>COUNTIF(Tasks!$F$2:$F$37,D13)</f>
        <v>5</v>
      </c>
      <c r="F13" s="5"/>
      <c r="G13" s="5"/>
      <c r="H13" s="5"/>
    </row>
    <row r="14" spans="1:8">
      <c r="A14" s="5" t="s">
        <v>18</v>
      </c>
      <c r="B14" s="5">
        <f>COUNTIF(Tasks!$E$2:$E$37,A14)</f>
        <v>12</v>
      </c>
      <c r="C14" s="5"/>
      <c r="D14" s="5" t="s">
        <v>19</v>
      </c>
      <c r="E14" s="5">
        <f>COUNTIF(Tasks!$F$2:$F$37,D14)</f>
        <v>11</v>
      </c>
      <c r="F14" s="5"/>
      <c r="G14" s="5"/>
      <c r="H14" s="5"/>
    </row>
    <row r="15" spans="1:8">
      <c r="A15" s="5" t="s">
        <v>9</v>
      </c>
      <c r="B15" s="5">
        <f>COUNTIF(Tasks!$E$2:$E$37,A15)</f>
        <v>5</v>
      </c>
      <c r="C15" s="5"/>
      <c r="D15" s="5" t="s">
        <v>20</v>
      </c>
      <c r="E15" s="5">
        <f>COUNTIF(Tasks!$F$2:$F$37,D15)</f>
        <v>14</v>
      </c>
      <c r="F15" s="5"/>
      <c r="G15" s="5"/>
      <c r="H15" s="5"/>
    </row>
    <row r="16" spans="1:8">
      <c r="A16" s="5" t="s">
        <v>6</v>
      </c>
      <c r="B16" s="5">
        <f>COUNTIF(Tasks!$E$2:$E$37,A16)</f>
        <v>13</v>
      </c>
      <c r="C16" s="5"/>
      <c r="D16" s="5" t="s">
        <v>21</v>
      </c>
      <c r="E16" s="5">
        <f>COUNTIF(Tasks!$F$2:$F$37,D16)</f>
        <v>6</v>
      </c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4" t="s">
        <v>22</v>
      </c>
      <c r="B19" s="4" t="s">
        <v>23</v>
      </c>
      <c r="C19" s="4" t="s">
        <v>8</v>
      </c>
      <c r="D19" s="4" t="s">
        <v>9</v>
      </c>
      <c r="E19" s="4" t="s">
        <v>10</v>
      </c>
      <c r="F19" s="4" t="s">
        <v>24</v>
      </c>
      <c r="G19" s="5"/>
      <c r="H19" s="5"/>
    </row>
    <row r="20" spans="1:8">
      <c r="A20" s="5" t="str">
        <f>Projects!A2</f>
        <v>PMO Governance Upgrade</v>
      </c>
      <c r="B20" s="7">
        <f>Projects!H2</f>
        <v>0.5</v>
      </c>
      <c r="C20" s="5">
        <f>Projects!I2</f>
        <v>3</v>
      </c>
      <c r="D20" s="5">
        <f>Projects!J2</f>
        <v>0</v>
      </c>
      <c r="E20" s="5">
        <f>Projects!K2</f>
        <v>1</v>
      </c>
      <c r="F20" s="5" t="str">
        <f>Projects!L2</f>
        <v>Red</v>
      </c>
      <c r="G20" s="5"/>
      <c r="H20" s="5"/>
    </row>
    <row r="21" spans="1:8">
      <c r="A21" s="5" t="str">
        <f>Projects!A3</f>
        <v>Executive Reporting Pack</v>
      </c>
      <c r="B21" s="7">
        <f>Projects!H3</f>
        <v>0.33333333333333331</v>
      </c>
      <c r="C21" s="5">
        <f>Projects!I3</f>
        <v>4</v>
      </c>
      <c r="D21" s="5">
        <f>Projects!J3</f>
        <v>0</v>
      </c>
      <c r="E21" s="5">
        <f>Projects!K3</f>
        <v>1</v>
      </c>
      <c r="F21" s="5" t="str">
        <f>Projects!L3</f>
        <v>Red</v>
      </c>
      <c r="G21" s="5"/>
      <c r="H21" s="5"/>
    </row>
    <row r="22" spans="1:8">
      <c r="A22" s="5" t="str">
        <f>Projects!A4</f>
        <v>Customer Service SLA</v>
      </c>
      <c r="B22" s="7">
        <f>Projects!H4</f>
        <v>0.16666666666666666</v>
      </c>
      <c r="C22" s="5">
        <f>Projects!I4</f>
        <v>5</v>
      </c>
      <c r="D22" s="5">
        <f>Projects!J4</f>
        <v>1</v>
      </c>
      <c r="E22" s="5">
        <f>Projects!K4</f>
        <v>2</v>
      </c>
      <c r="F22" s="5" t="str">
        <f>Projects!L4</f>
        <v>Red</v>
      </c>
      <c r="G22" s="5"/>
      <c r="H22" s="5"/>
    </row>
    <row r="23" spans="1:8">
      <c r="A23" s="5" t="str">
        <f>Projects!A5</f>
        <v>Inventory Accuracy</v>
      </c>
      <c r="B23" s="7">
        <f>Projects!H5</f>
        <v>0.16666666666666666</v>
      </c>
      <c r="C23" s="5">
        <f>Projects!I5</f>
        <v>4</v>
      </c>
      <c r="D23" s="5">
        <f>Projects!J5</f>
        <v>2</v>
      </c>
      <c r="E23" s="5">
        <f>Projects!K5</f>
        <v>1</v>
      </c>
      <c r="F23" s="5" t="str">
        <f>Projects!L5</f>
        <v>Red</v>
      </c>
      <c r="G23" s="5"/>
      <c r="H23" s="5"/>
    </row>
    <row r="24" spans="1:8" ht="27.6">
      <c r="A24" s="5" t="str">
        <f>Projects!A6</f>
        <v>Warehouse Process Improvement</v>
      </c>
      <c r="B24" s="7">
        <f>Projects!H6</f>
        <v>0.16666666666666666</v>
      </c>
      <c r="C24" s="5">
        <f>Projects!I6</f>
        <v>4</v>
      </c>
      <c r="D24" s="5">
        <f>Projects!J6</f>
        <v>1</v>
      </c>
      <c r="E24" s="5">
        <f>Projects!K6</f>
        <v>1</v>
      </c>
      <c r="F24" s="5" t="str">
        <f>Projects!L6</f>
        <v>Red</v>
      </c>
      <c r="G24" s="5"/>
      <c r="H24" s="5"/>
    </row>
    <row r="25" spans="1:8">
      <c r="A25" s="5" t="str">
        <f>Projects!A7</f>
        <v>Recruitment Analytics</v>
      </c>
      <c r="B25" s="7">
        <f>Projects!H7</f>
        <v>0.83333333333333337</v>
      </c>
      <c r="C25" s="5">
        <f>Projects!I7</f>
        <v>1</v>
      </c>
      <c r="D25" s="5">
        <f>Projects!J7</f>
        <v>1</v>
      </c>
      <c r="E25" s="5">
        <f>Projects!K7</f>
        <v>1</v>
      </c>
      <c r="F25" s="5" t="str">
        <f>Projects!L7</f>
        <v>Red</v>
      </c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</sheetData>
  <mergeCells count="19">
    <mergeCell ref="G8:H8"/>
    <mergeCell ref="G9:H9"/>
    <mergeCell ref="A8:B8"/>
    <mergeCell ref="A9:B9"/>
    <mergeCell ref="C8:D8"/>
    <mergeCell ref="C9:D9"/>
    <mergeCell ref="E8:F8"/>
    <mergeCell ref="E9:F9"/>
    <mergeCell ref="A1:H1"/>
    <mergeCell ref="A2:H2"/>
    <mergeCell ref="E3:H3"/>
    <mergeCell ref="A5:B5"/>
    <mergeCell ref="A6:B6"/>
    <mergeCell ref="C5:D5"/>
    <mergeCell ref="C6:D6"/>
    <mergeCell ref="E5:F5"/>
    <mergeCell ref="E6:F6"/>
    <mergeCell ref="G5:H5"/>
    <mergeCell ref="G6:H6"/>
  </mergeCells>
  <conditionalFormatting sqref="B20:B25">
    <cfRule type="dataBar" priority="1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F20:F25">
    <cfRule type="expression" dxfId="10" priority="2">
      <formula>F20="Red"</formula>
    </cfRule>
    <cfRule type="expression" dxfId="9" priority="3">
      <formula>F20="Amber"</formula>
    </cfRule>
    <cfRule type="expression" dxfId="8" priority="4">
      <formula>F20="Green"</formula>
    </cfRule>
  </conditionalFormatting>
  <printOptions horizontalCentered="1"/>
  <pageMargins left="0.25" right="0.25" top="0.35" bottom="0.35" header="0.15" footer="0.15"/>
  <pageSetup paperSize="9" scale="7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B20:B25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defaultRowHeight="13.8"/>
  <cols>
    <col min="1" max="1" width="28" customWidth="1"/>
    <col min="2" max="2" width="20" customWidth="1"/>
    <col min="3" max="3" width="18" customWidth="1"/>
    <col min="4" max="5" width="13" customWidth="1"/>
    <col min="6" max="7" width="11" customWidth="1"/>
    <col min="8" max="8" width="13" customWidth="1"/>
    <col min="9" max="11" width="10" customWidth="1"/>
    <col min="12" max="12" width="11" customWidth="1"/>
  </cols>
  <sheetData>
    <row r="1" spans="1:12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5</v>
      </c>
      <c r="G1" s="1" t="s">
        <v>6</v>
      </c>
      <c r="H1" s="1" t="s">
        <v>23</v>
      </c>
      <c r="I1" s="1" t="s">
        <v>8</v>
      </c>
      <c r="J1" s="1" t="s">
        <v>9</v>
      </c>
      <c r="K1" s="1" t="s">
        <v>10</v>
      </c>
      <c r="L1" s="1" t="s">
        <v>24</v>
      </c>
    </row>
    <row r="2" spans="1:12">
      <c r="A2" t="s">
        <v>29</v>
      </c>
      <c r="B2" t="s">
        <v>30</v>
      </c>
      <c r="C2" t="s">
        <v>31</v>
      </c>
      <c r="D2" s="2">
        <v>46235</v>
      </c>
      <c r="E2" s="2">
        <v>46310</v>
      </c>
      <c r="F2">
        <f>COUNTIF(Tasks!$B$2:$B$100,A2)</f>
        <v>6</v>
      </c>
      <c r="G2">
        <f>COUNTIFS(Tasks!$B$2:$B$100,A2,Tasks!$E$2:$E$100,"Completed")</f>
        <v>3</v>
      </c>
      <c r="H2" s="3">
        <f t="shared" ref="H2:H7" si="0">IF(F2=0,0,G2/F2)</f>
        <v>0.5</v>
      </c>
      <c r="I2">
        <f>COUNTIFS(Tasks!$B$2:$B$100,A2,Tasks!$E$2:$E$100,"&lt;&gt;Completed",Tasks!$H$2:$H$100,"&lt;"&amp;Dashboard!$B$3)</f>
        <v>3</v>
      </c>
      <c r="J2">
        <f>COUNTIFS(Tasks!$B$2:$B$100,A2,Tasks!$E$2:$E$100,"Blocked")</f>
        <v>0</v>
      </c>
      <c r="K2">
        <f>COUNTIFS(RAID!$B$2:$B$100,A2,RAID!$H$2:$H$100,"&lt;&gt;Closed")</f>
        <v>1</v>
      </c>
      <c r="L2" t="str">
        <f t="shared" ref="L2:L7" si="1">IF(OR(J2&gt;0,I2&gt;=2,K2&gt;=2),"Red",IF(OR(I2&gt;0,K2&gt;0),"Amber","Green"))</f>
        <v>Red</v>
      </c>
    </row>
    <row r="3" spans="1:12">
      <c r="A3" t="s">
        <v>32</v>
      </c>
      <c r="B3" t="s">
        <v>33</v>
      </c>
      <c r="C3" t="s">
        <v>34</v>
      </c>
      <c r="D3" s="2">
        <v>46238</v>
      </c>
      <c r="E3" s="2">
        <v>46315</v>
      </c>
      <c r="F3">
        <f>COUNTIF(Tasks!$B$2:$B$100,A3)</f>
        <v>6</v>
      </c>
      <c r="G3">
        <f>COUNTIFS(Tasks!$B$2:$B$100,A3,Tasks!$E$2:$E$100,"Completed")</f>
        <v>2</v>
      </c>
      <c r="H3" s="3">
        <f t="shared" si="0"/>
        <v>0.33333333333333331</v>
      </c>
      <c r="I3">
        <f>COUNTIFS(Tasks!$B$2:$B$100,A3,Tasks!$E$2:$E$100,"&lt;&gt;Completed",Tasks!$H$2:$H$100,"&lt;"&amp;Dashboard!$B$3)</f>
        <v>4</v>
      </c>
      <c r="J3">
        <f>COUNTIFS(Tasks!$B$2:$B$100,A3,Tasks!$E$2:$E$100,"Blocked")</f>
        <v>0</v>
      </c>
      <c r="K3">
        <f>COUNTIFS(RAID!$B$2:$B$100,A3,RAID!$H$2:$H$100,"&lt;&gt;Closed")</f>
        <v>1</v>
      </c>
      <c r="L3" t="str">
        <f t="shared" si="1"/>
        <v>Red</v>
      </c>
    </row>
    <row r="4" spans="1:12">
      <c r="A4" t="s">
        <v>35</v>
      </c>
      <c r="B4" t="s">
        <v>36</v>
      </c>
      <c r="C4" t="s">
        <v>37</v>
      </c>
      <c r="D4" s="2">
        <v>46241</v>
      </c>
      <c r="E4" s="2">
        <v>46320</v>
      </c>
      <c r="F4">
        <f>COUNTIF(Tasks!$B$2:$B$100,A4)</f>
        <v>6</v>
      </c>
      <c r="G4">
        <f>COUNTIFS(Tasks!$B$2:$B$100,A4,Tasks!$E$2:$E$100,"Completed")</f>
        <v>1</v>
      </c>
      <c r="H4" s="3">
        <f t="shared" si="0"/>
        <v>0.16666666666666666</v>
      </c>
      <c r="I4">
        <f>COUNTIFS(Tasks!$B$2:$B$100,A4,Tasks!$E$2:$E$100,"&lt;&gt;Completed",Tasks!$H$2:$H$100,"&lt;"&amp;Dashboard!$B$3)</f>
        <v>5</v>
      </c>
      <c r="J4">
        <f>COUNTIFS(Tasks!$B$2:$B$100,A4,Tasks!$E$2:$E$100,"Blocked")</f>
        <v>1</v>
      </c>
      <c r="K4">
        <f>COUNTIFS(RAID!$B$2:$B$100,A4,RAID!$H$2:$H$100,"&lt;&gt;Closed")</f>
        <v>2</v>
      </c>
      <c r="L4" t="str">
        <f t="shared" si="1"/>
        <v>Red</v>
      </c>
    </row>
    <row r="5" spans="1:12">
      <c r="A5" t="s">
        <v>38</v>
      </c>
      <c r="B5" t="s">
        <v>39</v>
      </c>
      <c r="C5" t="s">
        <v>40</v>
      </c>
      <c r="D5" s="2">
        <v>46244</v>
      </c>
      <c r="E5" s="2">
        <v>46325</v>
      </c>
      <c r="F5">
        <f>COUNTIF(Tasks!$B$2:$B$100,A5)</f>
        <v>6</v>
      </c>
      <c r="G5">
        <f>COUNTIFS(Tasks!$B$2:$B$100,A5,Tasks!$E$2:$E$100,"Completed")</f>
        <v>1</v>
      </c>
      <c r="H5" s="3">
        <f t="shared" si="0"/>
        <v>0.16666666666666666</v>
      </c>
      <c r="I5">
        <f>COUNTIFS(Tasks!$B$2:$B$100,A5,Tasks!$E$2:$E$100,"&lt;&gt;Completed",Tasks!$H$2:$H$100,"&lt;"&amp;Dashboard!$B$3)</f>
        <v>4</v>
      </c>
      <c r="J5">
        <f>COUNTIFS(Tasks!$B$2:$B$100,A5,Tasks!$E$2:$E$100,"Blocked")</f>
        <v>2</v>
      </c>
      <c r="K5">
        <f>COUNTIFS(RAID!$B$2:$B$100,A5,RAID!$H$2:$H$100,"&lt;&gt;Closed")</f>
        <v>1</v>
      </c>
      <c r="L5" t="str">
        <f t="shared" si="1"/>
        <v>Red</v>
      </c>
    </row>
    <row r="6" spans="1:12">
      <c r="A6" t="s">
        <v>41</v>
      </c>
      <c r="B6" t="s">
        <v>42</v>
      </c>
      <c r="C6" t="s">
        <v>43</v>
      </c>
      <c r="D6" s="2">
        <v>46247</v>
      </c>
      <c r="E6" s="2">
        <v>46330</v>
      </c>
      <c r="F6">
        <f>COUNTIF(Tasks!$B$2:$B$100,A6)</f>
        <v>6</v>
      </c>
      <c r="G6">
        <f>COUNTIFS(Tasks!$B$2:$B$100,A6,Tasks!$E$2:$E$100,"Completed")</f>
        <v>1</v>
      </c>
      <c r="H6" s="3">
        <f t="shared" si="0"/>
        <v>0.16666666666666666</v>
      </c>
      <c r="I6">
        <f>COUNTIFS(Tasks!$B$2:$B$100,A6,Tasks!$E$2:$E$100,"&lt;&gt;Completed",Tasks!$H$2:$H$100,"&lt;"&amp;Dashboard!$B$3)</f>
        <v>4</v>
      </c>
      <c r="J6">
        <f>COUNTIFS(Tasks!$B$2:$B$100,A6,Tasks!$E$2:$E$100,"Blocked")</f>
        <v>1</v>
      </c>
      <c r="K6">
        <f>COUNTIFS(RAID!$B$2:$B$100,A6,RAID!$H$2:$H$100,"&lt;&gt;Closed")</f>
        <v>1</v>
      </c>
      <c r="L6" t="str">
        <f t="shared" si="1"/>
        <v>Red</v>
      </c>
    </row>
    <row r="7" spans="1:12">
      <c r="A7" t="s">
        <v>44</v>
      </c>
      <c r="B7" t="s">
        <v>45</v>
      </c>
      <c r="C7" t="s">
        <v>46</v>
      </c>
      <c r="D7" s="2">
        <v>46250</v>
      </c>
      <c r="E7" s="2">
        <v>46335</v>
      </c>
      <c r="F7">
        <f>COUNTIF(Tasks!$B$2:$B$100,A7)</f>
        <v>6</v>
      </c>
      <c r="G7">
        <f>COUNTIFS(Tasks!$B$2:$B$100,A7,Tasks!$E$2:$E$100,"Completed")</f>
        <v>5</v>
      </c>
      <c r="H7" s="3">
        <f t="shared" si="0"/>
        <v>0.83333333333333337</v>
      </c>
      <c r="I7">
        <f>COUNTIFS(Tasks!$B$2:$B$100,A7,Tasks!$E$2:$E$100,"&lt;&gt;Completed",Tasks!$H$2:$H$100,"&lt;"&amp;Dashboard!$B$3)</f>
        <v>1</v>
      </c>
      <c r="J7">
        <f>COUNTIFS(Tasks!$B$2:$B$100,A7,Tasks!$E$2:$E$100,"Blocked")</f>
        <v>1</v>
      </c>
      <c r="K7">
        <f>COUNTIFS(RAID!$B$2:$B$100,A7,RAID!$H$2:$H$100,"&lt;&gt;Closed")</f>
        <v>1</v>
      </c>
      <c r="L7" t="str">
        <f t="shared" si="1"/>
        <v>Red</v>
      </c>
    </row>
  </sheetData>
  <conditionalFormatting sqref="H2:H7">
    <cfRule type="dataBar" priority="1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{FBD53CE6-9EB0-9C14-93FC-0880309E4331}</x14:id>
        </ext>
      </extLst>
    </cfRule>
  </conditionalFormatting>
  <conditionalFormatting sqref="L2:L7">
    <cfRule type="expression" dxfId="7" priority="2">
      <formula>L2="Red"</formula>
    </cfRule>
    <cfRule type="expression" dxfId="6" priority="3">
      <formula>L2="Amber"</formula>
    </cfRule>
    <cfRule type="expression" dxfId="5" priority="4">
      <formula>L2="Green"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53CE6-9EB0-9C14-93FC-0880309E4331}">
            <x14:dataBar>
              <x14:cfvo type="min"/>
              <x14:cfvo type="max"/>
              <x14:negativeFillColor auto="1"/>
              <x14:axisColor auto="1"/>
            </x14:dataBar>
          </x14:cfRule>
          <xm:sqref>H2:H7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workbookViewId="0"/>
  </sheetViews>
  <sheetFormatPr defaultRowHeight="13.8"/>
  <cols>
    <col min="1" max="1" width="11" customWidth="1"/>
    <col min="2" max="2" width="26" customWidth="1"/>
    <col min="3" max="4" width="16" customWidth="1"/>
    <col min="5" max="5" width="14" customWidth="1"/>
    <col min="6" max="6" width="11" customWidth="1"/>
    <col min="7" max="9" width="13" customWidth="1"/>
    <col min="10" max="10" width="11" customWidth="1"/>
    <col min="11" max="11" width="12" customWidth="1"/>
    <col min="12" max="12" width="24" customWidth="1"/>
  </cols>
  <sheetData>
    <row r="1" spans="1:12" ht="27.6">
      <c r="A1" s="4" t="s">
        <v>47</v>
      </c>
      <c r="B1" s="4" t="s">
        <v>22</v>
      </c>
      <c r="C1" s="4" t="s">
        <v>48</v>
      </c>
      <c r="D1" s="4" t="s">
        <v>49</v>
      </c>
      <c r="E1" s="4" t="s">
        <v>13</v>
      </c>
      <c r="F1" s="4" t="s">
        <v>15</v>
      </c>
      <c r="G1" s="4" t="s">
        <v>27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</row>
    <row r="2" spans="1:12">
      <c r="A2" s="5" t="s">
        <v>55</v>
      </c>
      <c r="B2" s="5" t="s">
        <v>29</v>
      </c>
      <c r="C2" s="5" t="s">
        <v>56</v>
      </c>
      <c r="D2" s="5" t="s">
        <v>31</v>
      </c>
      <c r="E2" s="5" t="s">
        <v>6</v>
      </c>
      <c r="F2" s="5" t="s">
        <v>20</v>
      </c>
      <c r="G2" s="6">
        <v>46235</v>
      </c>
      <c r="H2" s="6">
        <v>46249</v>
      </c>
      <c r="I2" s="6">
        <v>46250</v>
      </c>
      <c r="J2" s="7">
        <v>1</v>
      </c>
      <c r="K2" s="5">
        <f>IF(E2="Completed",IF(I2="","",I2-H2),Dashboard!$B$3-H2)</f>
        <v>1</v>
      </c>
      <c r="L2" s="5" t="s">
        <v>57</v>
      </c>
    </row>
    <row r="3" spans="1:12">
      <c r="A3" s="5" t="s">
        <v>58</v>
      </c>
      <c r="B3" s="5" t="s">
        <v>32</v>
      </c>
      <c r="C3" s="5" t="s">
        <v>59</v>
      </c>
      <c r="D3" s="5" t="s">
        <v>34</v>
      </c>
      <c r="E3" s="5" t="s">
        <v>18</v>
      </c>
      <c r="F3" s="5" t="s">
        <v>20</v>
      </c>
      <c r="G3" s="6">
        <v>46238</v>
      </c>
      <c r="H3" s="6">
        <v>46256</v>
      </c>
      <c r="I3" s="6"/>
      <c r="J3" s="7">
        <v>0.5</v>
      </c>
      <c r="K3" s="5">
        <f>IF(E3="Completed",IF(I3="","",I3-H3),Dashboard!$B$3-H3)</f>
        <v>36</v>
      </c>
      <c r="L3" s="5" t="s">
        <v>57</v>
      </c>
    </row>
    <row r="4" spans="1:12">
      <c r="A4" s="5" t="s">
        <v>60</v>
      </c>
      <c r="B4" s="5" t="s">
        <v>35</v>
      </c>
      <c r="C4" s="5" t="s">
        <v>61</v>
      </c>
      <c r="D4" s="5" t="s">
        <v>37</v>
      </c>
      <c r="E4" s="5" t="s">
        <v>18</v>
      </c>
      <c r="F4" s="5" t="s">
        <v>19</v>
      </c>
      <c r="G4" s="6">
        <v>46241</v>
      </c>
      <c r="H4" s="6">
        <v>46263</v>
      </c>
      <c r="I4" s="6"/>
      <c r="J4" s="7">
        <v>0.6</v>
      </c>
      <c r="K4" s="5">
        <f>IF(E4="Completed",IF(I4="","",I4-H4),Dashboard!$B$3-H4)</f>
        <v>29</v>
      </c>
      <c r="L4" s="5" t="s">
        <v>57</v>
      </c>
    </row>
    <row r="5" spans="1:12">
      <c r="A5" s="5" t="s">
        <v>62</v>
      </c>
      <c r="B5" s="5" t="s">
        <v>38</v>
      </c>
      <c r="C5" s="5" t="s">
        <v>63</v>
      </c>
      <c r="D5" s="5" t="s">
        <v>40</v>
      </c>
      <c r="E5" s="5" t="s">
        <v>9</v>
      </c>
      <c r="F5" s="5" t="s">
        <v>21</v>
      </c>
      <c r="G5" s="6">
        <v>46244</v>
      </c>
      <c r="H5" s="6">
        <v>46270</v>
      </c>
      <c r="I5" s="6"/>
      <c r="J5" s="7">
        <v>0.2</v>
      </c>
      <c r="K5" s="5">
        <f>IF(E5="Completed",IF(I5="","",I5-H5),Dashboard!$B$3-H5)</f>
        <v>22</v>
      </c>
      <c r="L5" s="5" t="s">
        <v>57</v>
      </c>
    </row>
    <row r="6" spans="1:12" ht="27.6">
      <c r="A6" s="5" t="s">
        <v>64</v>
      </c>
      <c r="B6" s="5" t="s">
        <v>41</v>
      </c>
      <c r="C6" s="5" t="s">
        <v>65</v>
      </c>
      <c r="D6" s="5" t="s">
        <v>43</v>
      </c>
      <c r="E6" s="5" t="s">
        <v>16</v>
      </c>
      <c r="F6" s="5" t="s">
        <v>19</v>
      </c>
      <c r="G6" s="6">
        <v>46247</v>
      </c>
      <c r="H6" s="6">
        <v>46277</v>
      </c>
      <c r="I6" s="6"/>
      <c r="J6" s="7">
        <v>0</v>
      </c>
      <c r="K6" s="5">
        <f>IF(E6="Completed",IF(I6="","",I6-H6),Dashboard!$B$3-H6)</f>
        <v>15</v>
      </c>
      <c r="L6" s="5" t="s">
        <v>57</v>
      </c>
    </row>
    <row r="7" spans="1:12">
      <c r="A7" s="5" t="s">
        <v>66</v>
      </c>
      <c r="B7" s="5" t="s">
        <v>44</v>
      </c>
      <c r="C7" s="5" t="s">
        <v>67</v>
      </c>
      <c r="D7" s="5" t="s">
        <v>46</v>
      </c>
      <c r="E7" s="5" t="s">
        <v>6</v>
      </c>
      <c r="F7" s="5" t="s">
        <v>20</v>
      </c>
      <c r="G7" s="6">
        <v>46250</v>
      </c>
      <c r="H7" s="6">
        <v>46264</v>
      </c>
      <c r="I7" s="6">
        <v>46264</v>
      </c>
      <c r="J7" s="7">
        <v>1</v>
      </c>
      <c r="K7" s="5">
        <f>IF(E7="Completed",IF(I7="","",I7-H7),Dashboard!$B$3-H7)</f>
        <v>0</v>
      </c>
      <c r="L7" s="5" t="s">
        <v>57</v>
      </c>
    </row>
    <row r="8" spans="1:12">
      <c r="A8" s="5" t="s">
        <v>68</v>
      </c>
      <c r="B8" s="5" t="s">
        <v>29</v>
      </c>
      <c r="C8" s="5" t="s">
        <v>56</v>
      </c>
      <c r="D8" s="5" t="s">
        <v>31</v>
      </c>
      <c r="E8" s="5" t="s">
        <v>18</v>
      </c>
      <c r="F8" s="5" t="s">
        <v>19</v>
      </c>
      <c r="G8" s="6">
        <v>46253</v>
      </c>
      <c r="H8" s="6">
        <v>46271</v>
      </c>
      <c r="I8" s="6"/>
      <c r="J8" s="7">
        <v>0.5</v>
      </c>
      <c r="K8" s="5">
        <f>IF(E8="Completed",IF(I8="","",I8-H8),Dashboard!$B$3-H8)</f>
        <v>21</v>
      </c>
      <c r="L8" s="5" t="s">
        <v>57</v>
      </c>
    </row>
    <row r="9" spans="1:12">
      <c r="A9" s="5" t="s">
        <v>69</v>
      </c>
      <c r="B9" s="5" t="s">
        <v>32</v>
      </c>
      <c r="C9" s="5" t="s">
        <v>59</v>
      </c>
      <c r="D9" s="5" t="s">
        <v>34</v>
      </c>
      <c r="E9" s="5" t="s">
        <v>6</v>
      </c>
      <c r="F9" s="5" t="s">
        <v>17</v>
      </c>
      <c r="G9" s="6">
        <v>46256</v>
      </c>
      <c r="H9" s="6">
        <v>46278</v>
      </c>
      <c r="I9" s="6">
        <v>46276</v>
      </c>
      <c r="J9" s="7">
        <v>1</v>
      </c>
      <c r="K9" s="5">
        <f>IF(E9="Completed",IF(I9="","",I9-H9),Dashboard!$B$3-H9)</f>
        <v>-2</v>
      </c>
      <c r="L9" s="5" t="s">
        <v>57</v>
      </c>
    </row>
    <row r="10" spans="1:12">
      <c r="A10" s="5" t="s">
        <v>70</v>
      </c>
      <c r="B10" s="5" t="s">
        <v>35</v>
      </c>
      <c r="C10" s="5" t="s">
        <v>61</v>
      </c>
      <c r="D10" s="5" t="s">
        <v>37</v>
      </c>
      <c r="E10" s="5" t="s">
        <v>9</v>
      </c>
      <c r="F10" s="5" t="s">
        <v>21</v>
      </c>
      <c r="G10" s="6">
        <v>46259</v>
      </c>
      <c r="H10" s="6">
        <v>46285</v>
      </c>
      <c r="I10" s="6"/>
      <c r="J10" s="7">
        <v>0.55000000000000004</v>
      </c>
      <c r="K10" s="5">
        <f>IF(E10="Completed",IF(I10="","",I10-H10),Dashboard!$B$3-H10)</f>
        <v>7</v>
      </c>
      <c r="L10" s="5" t="s">
        <v>57</v>
      </c>
    </row>
    <row r="11" spans="1:12">
      <c r="A11" s="5" t="s">
        <v>71</v>
      </c>
      <c r="B11" s="5" t="s">
        <v>38</v>
      </c>
      <c r="C11" s="5" t="s">
        <v>63</v>
      </c>
      <c r="D11" s="5" t="s">
        <v>40</v>
      </c>
      <c r="E11" s="5" t="s">
        <v>18</v>
      </c>
      <c r="F11" s="5" t="s">
        <v>20</v>
      </c>
      <c r="G11" s="6">
        <v>46262</v>
      </c>
      <c r="H11" s="6">
        <v>46292</v>
      </c>
      <c r="I11" s="6"/>
      <c r="J11" s="7">
        <v>0.85</v>
      </c>
      <c r="K11" s="5">
        <f>IF(E11="Completed",IF(I11="","",I11-H11),Dashboard!$B$3-H11)</f>
        <v>0</v>
      </c>
      <c r="L11" s="5" t="s">
        <v>57</v>
      </c>
    </row>
    <row r="12" spans="1:12" ht="27.6">
      <c r="A12" s="5" t="s">
        <v>72</v>
      </c>
      <c r="B12" s="5" t="s">
        <v>41</v>
      </c>
      <c r="C12" s="5" t="s">
        <v>65</v>
      </c>
      <c r="D12" s="5" t="s">
        <v>43</v>
      </c>
      <c r="E12" s="5" t="s">
        <v>16</v>
      </c>
      <c r="F12" s="5" t="s">
        <v>19</v>
      </c>
      <c r="G12" s="6">
        <v>46265</v>
      </c>
      <c r="H12" s="6">
        <v>46279</v>
      </c>
      <c r="I12" s="6"/>
      <c r="J12" s="7">
        <v>0</v>
      </c>
      <c r="K12" s="5">
        <f>IF(E12="Completed",IF(I12="","",I12-H12),Dashboard!$B$3-H12)</f>
        <v>13</v>
      </c>
      <c r="L12" s="5" t="s">
        <v>57</v>
      </c>
    </row>
    <row r="13" spans="1:12">
      <c r="A13" s="5" t="s">
        <v>73</v>
      </c>
      <c r="B13" s="5" t="s">
        <v>44</v>
      </c>
      <c r="C13" s="5" t="s">
        <v>67</v>
      </c>
      <c r="D13" s="5" t="s">
        <v>46</v>
      </c>
      <c r="E13" s="5" t="s">
        <v>6</v>
      </c>
      <c r="F13" s="5" t="s">
        <v>20</v>
      </c>
      <c r="G13" s="6">
        <v>46268</v>
      </c>
      <c r="H13" s="6">
        <v>46286</v>
      </c>
      <c r="I13" s="6">
        <v>46284</v>
      </c>
      <c r="J13" s="7">
        <v>1</v>
      </c>
      <c r="K13" s="5">
        <f>IF(E13="Completed",IF(I13="","",I13-H13),Dashboard!$B$3-H13)</f>
        <v>-2</v>
      </c>
      <c r="L13" s="5" t="s">
        <v>57</v>
      </c>
    </row>
    <row r="14" spans="1:12">
      <c r="A14" s="5" t="s">
        <v>74</v>
      </c>
      <c r="B14" s="5" t="s">
        <v>29</v>
      </c>
      <c r="C14" s="5" t="s">
        <v>56</v>
      </c>
      <c r="D14" s="5" t="s">
        <v>31</v>
      </c>
      <c r="E14" s="5" t="s">
        <v>18</v>
      </c>
      <c r="F14" s="5" t="s">
        <v>21</v>
      </c>
      <c r="G14" s="6">
        <v>46235</v>
      </c>
      <c r="H14" s="6">
        <v>46257</v>
      </c>
      <c r="I14" s="6"/>
      <c r="J14" s="7">
        <v>0.6</v>
      </c>
      <c r="K14" s="5">
        <f>IF(E14="Completed",IF(I14="","",I14-H14),Dashboard!$B$3-H14)</f>
        <v>35</v>
      </c>
      <c r="L14" s="5" t="s">
        <v>57</v>
      </c>
    </row>
    <row r="15" spans="1:12">
      <c r="A15" s="5" t="s">
        <v>75</v>
      </c>
      <c r="B15" s="5" t="s">
        <v>32</v>
      </c>
      <c r="C15" s="5" t="s">
        <v>59</v>
      </c>
      <c r="D15" s="5" t="s">
        <v>34</v>
      </c>
      <c r="E15" s="5" t="s">
        <v>18</v>
      </c>
      <c r="F15" s="5" t="s">
        <v>19</v>
      </c>
      <c r="G15" s="6">
        <v>46238</v>
      </c>
      <c r="H15" s="6">
        <v>46264</v>
      </c>
      <c r="I15" s="6"/>
      <c r="J15" s="7">
        <v>0.75</v>
      </c>
      <c r="K15" s="5">
        <f>IF(E15="Completed",IF(I15="","",I15-H15),Dashboard!$B$3-H15)</f>
        <v>28</v>
      </c>
      <c r="L15" s="5" t="s">
        <v>57</v>
      </c>
    </row>
    <row r="16" spans="1:12">
      <c r="A16" s="5" t="s">
        <v>76</v>
      </c>
      <c r="B16" s="5" t="s">
        <v>35</v>
      </c>
      <c r="C16" s="5" t="s">
        <v>61</v>
      </c>
      <c r="D16" s="5" t="s">
        <v>37</v>
      </c>
      <c r="E16" s="5" t="s">
        <v>6</v>
      </c>
      <c r="F16" s="5" t="s">
        <v>20</v>
      </c>
      <c r="G16" s="6">
        <v>46241</v>
      </c>
      <c r="H16" s="6">
        <v>46271</v>
      </c>
      <c r="I16" s="6">
        <v>46270</v>
      </c>
      <c r="J16" s="7">
        <v>1</v>
      </c>
      <c r="K16" s="5">
        <f>IF(E16="Completed",IF(I16="","",I16-H16),Dashboard!$B$3-H16)</f>
        <v>-1</v>
      </c>
      <c r="L16" s="5" t="s">
        <v>57</v>
      </c>
    </row>
    <row r="17" spans="1:12">
      <c r="A17" s="5" t="s">
        <v>77</v>
      </c>
      <c r="B17" s="5" t="s">
        <v>38</v>
      </c>
      <c r="C17" s="5" t="s">
        <v>63</v>
      </c>
      <c r="D17" s="5" t="s">
        <v>40</v>
      </c>
      <c r="E17" s="5" t="s">
        <v>9</v>
      </c>
      <c r="F17" s="5" t="s">
        <v>20</v>
      </c>
      <c r="G17" s="6">
        <v>46244</v>
      </c>
      <c r="H17" s="6">
        <v>46258</v>
      </c>
      <c r="I17" s="6"/>
      <c r="J17" s="7">
        <v>0.2</v>
      </c>
      <c r="K17" s="5">
        <f>IF(E17="Completed",IF(I17="","",I17-H17),Dashboard!$B$3-H17)</f>
        <v>34</v>
      </c>
      <c r="L17" s="5" t="s">
        <v>57</v>
      </c>
    </row>
    <row r="18" spans="1:12" ht="27.6">
      <c r="A18" s="5" t="s">
        <v>78</v>
      </c>
      <c r="B18" s="5" t="s">
        <v>41</v>
      </c>
      <c r="C18" s="5" t="s">
        <v>65</v>
      </c>
      <c r="D18" s="5" t="s">
        <v>43</v>
      </c>
      <c r="E18" s="5" t="s">
        <v>16</v>
      </c>
      <c r="F18" s="5" t="s">
        <v>17</v>
      </c>
      <c r="G18" s="6">
        <v>46247</v>
      </c>
      <c r="H18" s="6">
        <v>46265</v>
      </c>
      <c r="I18" s="6"/>
      <c r="J18" s="7">
        <v>0</v>
      </c>
      <c r="K18" s="5">
        <f>IF(E18="Completed",IF(I18="","",I18-H18),Dashboard!$B$3-H18)</f>
        <v>27</v>
      </c>
      <c r="L18" s="5" t="s">
        <v>57</v>
      </c>
    </row>
    <row r="19" spans="1:12">
      <c r="A19" s="5" t="s">
        <v>79</v>
      </c>
      <c r="B19" s="5" t="s">
        <v>44</v>
      </c>
      <c r="C19" s="5" t="s">
        <v>67</v>
      </c>
      <c r="D19" s="5" t="s">
        <v>46</v>
      </c>
      <c r="E19" s="5" t="s">
        <v>6</v>
      </c>
      <c r="F19" s="5" t="s">
        <v>19</v>
      </c>
      <c r="G19" s="6">
        <v>46250</v>
      </c>
      <c r="H19" s="6">
        <v>46272</v>
      </c>
      <c r="I19" s="6">
        <v>46272</v>
      </c>
      <c r="J19" s="7">
        <v>1</v>
      </c>
      <c r="K19" s="5">
        <f>IF(E19="Completed",IF(I19="","",I19-H19),Dashboard!$B$3-H19)</f>
        <v>0</v>
      </c>
      <c r="L19" s="5" t="s">
        <v>57</v>
      </c>
    </row>
    <row r="20" spans="1:12">
      <c r="A20" s="5" t="s">
        <v>80</v>
      </c>
      <c r="B20" s="5" t="s">
        <v>29</v>
      </c>
      <c r="C20" s="5" t="s">
        <v>56</v>
      </c>
      <c r="D20" s="5" t="s">
        <v>31</v>
      </c>
      <c r="E20" s="5" t="s">
        <v>6</v>
      </c>
      <c r="F20" s="5" t="s">
        <v>19</v>
      </c>
      <c r="G20" s="6">
        <v>46253</v>
      </c>
      <c r="H20" s="6">
        <v>46279</v>
      </c>
      <c r="I20" s="6">
        <v>46278</v>
      </c>
      <c r="J20" s="7">
        <v>1</v>
      </c>
      <c r="K20" s="5">
        <f>IF(E20="Completed",IF(I20="","",I20-H20),Dashboard!$B$3-H20)</f>
        <v>-1</v>
      </c>
      <c r="L20" s="5" t="s">
        <v>57</v>
      </c>
    </row>
    <row r="21" spans="1:12">
      <c r="A21" s="5" t="s">
        <v>81</v>
      </c>
      <c r="B21" s="5" t="s">
        <v>32</v>
      </c>
      <c r="C21" s="5" t="s">
        <v>59</v>
      </c>
      <c r="D21" s="5" t="s">
        <v>34</v>
      </c>
      <c r="E21" s="5" t="s">
        <v>18</v>
      </c>
      <c r="F21" s="5" t="s">
        <v>20</v>
      </c>
      <c r="G21" s="6">
        <v>46256</v>
      </c>
      <c r="H21" s="6">
        <v>46286</v>
      </c>
      <c r="I21" s="6"/>
      <c r="J21" s="7">
        <v>0.85</v>
      </c>
      <c r="K21" s="5">
        <f>IF(E21="Completed",IF(I21="","",I21-H21),Dashboard!$B$3-H21)</f>
        <v>6</v>
      </c>
      <c r="L21" s="5" t="s">
        <v>57</v>
      </c>
    </row>
    <row r="22" spans="1:12">
      <c r="A22" s="5" t="s">
        <v>82</v>
      </c>
      <c r="B22" s="5" t="s">
        <v>35</v>
      </c>
      <c r="C22" s="5" t="s">
        <v>61</v>
      </c>
      <c r="D22" s="5" t="s">
        <v>37</v>
      </c>
      <c r="E22" s="5" t="s">
        <v>18</v>
      </c>
      <c r="F22" s="5" t="s">
        <v>21</v>
      </c>
      <c r="G22" s="6">
        <v>46259</v>
      </c>
      <c r="H22" s="6">
        <v>46273</v>
      </c>
      <c r="I22" s="6"/>
      <c r="J22" s="7">
        <v>0.35</v>
      </c>
      <c r="K22" s="5">
        <f>IF(E22="Completed",IF(I22="","",I22-H22),Dashboard!$B$3-H22)</f>
        <v>19</v>
      </c>
      <c r="L22" s="5" t="s">
        <v>57</v>
      </c>
    </row>
    <row r="23" spans="1:12">
      <c r="A23" s="5" t="s">
        <v>83</v>
      </c>
      <c r="B23" s="5" t="s">
        <v>38</v>
      </c>
      <c r="C23" s="5" t="s">
        <v>63</v>
      </c>
      <c r="D23" s="5" t="s">
        <v>40</v>
      </c>
      <c r="E23" s="5" t="s">
        <v>16</v>
      </c>
      <c r="F23" s="5" t="s">
        <v>17</v>
      </c>
      <c r="G23" s="6">
        <v>46262</v>
      </c>
      <c r="H23" s="6">
        <v>46280</v>
      </c>
      <c r="I23" s="6"/>
      <c r="J23" s="7">
        <v>0</v>
      </c>
      <c r="K23" s="5">
        <f>IF(E23="Completed",IF(I23="","",I23-H23),Dashboard!$B$3-H23)</f>
        <v>12</v>
      </c>
      <c r="L23" s="5" t="s">
        <v>57</v>
      </c>
    </row>
    <row r="24" spans="1:12" ht="27.6">
      <c r="A24" s="5" t="s">
        <v>84</v>
      </c>
      <c r="B24" s="5" t="s">
        <v>41</v>
      </c>
      <c r="C24" s="5" t="s">
        <v>65</v>
      </c>
      <c r="D24" s="5" t="s">
        <v>43</v>
      </c>
      <c r="E24" s="5" t="s">
        <v>9</v>
      </c>
      <c r="F24" s="5" t="s">
        <v>20</v>
      </c>
      <c r="G24" s="6">
        <v>46265</v>
      </c>
      <c r="H24" s="6">
        <v>46287</v>
      </c>
      <c r="I24" s="6"/>
      <c r="J24" s="7">
        <v>0.4</v>
      </c>
      <c r="K24" s="5">
        <f>IF(E24="Completed",IF(I24="","",I24-H24),Dashboard!$B$3-H24)</f>
        <v>5</v>
      </c>
      <c r="L24" s="5" t="s">
        <v>57</v>
      </c>
    </row>
    <row r="25" spans="1:12">
      <c r="A25" s="5" t="s">
        <v>85</v>
      </c>
      <c r="B25" s="5" t="s">
        <v>44</v>
      </c>
      <c r="C25" s="5" t="s">
        <v>67</v>
      </c>
      <c r="D25" s="5" t="s">
        <v>46</v>
      </c>
      <c r="E25" s="5" t="s">
        <v>6</v>
      </c>
      <c r="F25" s="5" t="s">
        <v>19</v>
      </c>
      <c r="G25" s="6">
        <v>46268</v>
      </c>
      <c r="H25" s="6">
        <v>46294</v>
      </c>
      <c r="I25" s="6">
        <v>46292</v>
      </c>
      <c r="J25" s="7">
        <v>1</v>
      </c>
      <c r="K25" s="5">
        <f>IF(E25="Completed",IF(I25="","",I25-H25),Dashboard!$B$3-H25)</f>
        <v>-2</v>
      </c>
      <c r="L25" s="5" t="s">
        <v>57</v>
      </c>
    </row>
    <row r="26" spans="1:12">
      <c r="A26" s="5" t="s">
        <v>86</v>
      </c>
      <c r="B26" s="5" t="s">
        <v>29</v>
      </c>
      <c r="C26" s="5" t="s">
        <v>56</v>
      </c>
      <c r="D26" s="5" t="s">
        <v>31</v>
      </c>
      <c r="E26" s="5" t="s">
        <v>18</v>
      </c>
      <c r="F26" s="5" t="s">
        <v>20</v>
      </c>
      <c r="G26" s="6">
        <v>46235</v>
      </c>
      <c r="H26" s="6">
        <v>46265</v>
      </c>
      <c r="I26" s="6"/>
      <c r="J26" s="7">
        <v>0.85</v>
      </c>
      <c r="K26" s="5">
        <f>IF(E26="Completed",IF(I26="","",I26-H26),Dashboard!$B$3-H26)</f>
        <v>27</v>
      </c>
      <c r="L26" s="5" t="s">
        <v>57</v>
      </c>
    </row>
    <row r="27" spans="1:12">
      <c r="A27" s="5" t="s">
        <v>87</v>
      </c>
      <c r="B27" s="5" t="s">
        <v>32</v>
      </c>
      <c r="C27" s="5" t="s">
        <v>59</v>
      </c>
      <c r="D27" s="5" t="s">
        <v>34</v>
      </c>
      <c r="E27" s="5" t="s">
        <v>6</v>
      </c>
      <c r="F27" s="5" t="s">
        <v>19</v>
      </c>
      <c r="G27" s="6">
        <v>46238</v>
      </c>
      <c r="H27" s="6">
        <v>46252</v>
      </c>
      <c r="I27" s="6">
        <v>46252</v>
      </c>
      <c r="J27" s="7">
        <v>1</v>
      </c>
      <c r="K27" s="5">
        <f>IF(E27="Completed",IF(I27="","",I27-H27),Dashboard!$B$3-H27)</f>
        <v>0</v>
      </c>
      <c r="L27" s="5" t="s">
        <v>57</v>
      </c>
    </row>
    <row r="28" spans="1:12">
      <c r="A28" s="5" t="s">
        <v>88</v>
      </c>
      <c r="B28" s="5" t="s">
        <v>35</v>
      </c>
      <c r="C28" s="5" t="s">
        <v>61</v>
      </c>
      <c r="D28" s="5" t="s">
        <v>37</v>
      </c>
      <c r="E28" s="5" t="s">
        <v>16</v>
      </c>
      <c r="F28" s="5" t="s">
        <v>17</v>
      </c>
      <c r="G28" s="6">
        <v>46241</v>
      </c>
      <c r="H28" s="6">
        <v>46259</v>
      </c>
      <c r="I28" s="6"/>
      <c r="J28" s="7">
        <v>0</v>
      </c>
      <c r="K28" s="5">
        <f>IF(E28="Completed",IF(I28="","",I28-H28),Dashboard!$B$3-H28)</f>
        <v>33</v>
      </c>
      <c r="L28" s="5" t="s">
        <v>57</v>
      </c>
    </row>
    <row r="29" spans="1:12">
      <c r="A29" s="5" t="s">
        <v>89</v>
      </c>
      <c r="B29" s="5" t="s">
        <v>38</v>
      </c>
      <c r="C29" s="5" t="s">
        <v>63</v>
      </c>
      <c r="D29" s="5" t="s">
        <v>40</v>
      </c>
      <c r="E29" s="5" t="s">
        <v>18</v>
      </c>
      <c r="F29" s="5" t="s">
        <v>21</v>
      </c>
      <c r="G29" s="6">
        <v>46244</v>
      </c>
      <c r="H29" s="6">
        <v>46266</v>
      </c>
      <c r="I29" s="6"/>
      <c r="J29" s="7">
        <v>0.6</v>
      </c>
      <c r="K29" s="5">
        <f>IF(E29="Completed",IF(I29="","",I29-H29),Dashboard!$B$3-H29)</f>
        <v>26</v>
      </c>
      <c r="L29" s="5" t="s">
        <v>57</v>
      </c>
    </row>
    <row r="30" spans="1:12" ht="27.6">
      <c r="A30" s="5" t="s">
        <v>90</v>
      </c>
      <c r="B30" s="5" t="s">
        <v>41</v>
      </c>
      <c r="C30" s="5" t="s">
        <v>65</v>
      </c>
      <c r="D30" s="5" t="s">
        <v>43</v>
      </c>
      <c r="E30" s="5" t="s">
        <v>6</v>
      </c>
      <c r="F30" s="5" t="s">
        <v>20</v>
      </c>
      <c r="G30" s="6">
        <v>46247</v>
      </c>
      <c r="H30" s="6">
        <v>46273</v>
      </c>
      <c r="I30" s="6">
        <v>46274</v>
      </c>
      <c r="J30" s="7">
        <v>1</v>
      </c>
      <c r="K30" s="5">
        <f>IF(E30="Completed",IF(I30="","",I30-H30),Dashboard!$B$3-H30)</f>
        <v>1</v>
      </c>
      <c r="L30" s="5" t="s">
        <v>57</v>
      </c>
    </row>
    <row r="31" spans="1:12">
      <c r="A31" s="5" t="s">
        <v>91</v>
      </c>
      <c r="B31" s="5" t="s">
        <v>44</v>
      </c>
      <c r="C31" s="5" t="s">
        <v>67</v>
      </c>
      <c r="D31" s="5" t="s">
        <v>46</v>
      </c>
      <c r="E31" s="5" t="s">
        <v>9</v>
      </c>
      <c r="F31" s="5" t="s">
        <v>20</v>
      </c>
      <c r="G31" s="6">
        <v>46250</v>
      </c>
      <c r="H31" s="6">
        <v>46280</v>
      </c>
      <c r="I31" s="6"/>
      <c r="J31" s="7">
        <v>0.55000000000000004</v>
      </c>
      <c r="K31" s="5">
        <f>IF(E31="Completed",IF(I31="","",I31-H31),Dashboard!$B$3-H31)</f>
        <v>12</v>
      </c>
      <c r="L31" s="5" t="s">
        <v>57</v>
      </c>
    </row>
    <row r="32" spans="1:12">
      <c r="A32" s="5" t="s">
        <v>92</v>
      </c>
      <c r="B32" s="5" t="s">
        <v>29</v>
      </c>
      <c r="C32" s="5" t="s">
        <v>56</v>
      </c>
      <c r="D32" s="5" t="s">
        <v>31</v>
      </c>
      <c r="E32" s="5" t="s">
        <v>6</v>
      </c>
      <c r="F32" s="5" t="s">
        <v>19</v>
      </c>
      <c r="G32" s="6">
        <v>46253</v>
      </c>
      <c r="H32" s="6">
        <v>46267</v>
      </c>
      <c r="I32" s="6">
        <v>46266</v>
      </c>
      <c r="J32" s="7">
        <v>1</v>
      </c>
      <c r="K32" s="5">
        <f>IF(E32="Completed",IF(I32="","",I32-H32),Dashboard!$B$3-H32)</f>
        <v>-1</v>
      </c>
      <c r="L32" s="5" t="s">
        <v>57</v>
      </c>
    </row>
    <row r="33" spans="1:12">
      <c r="A33" s="5" t="s">
        <v>93</v>
      </c>
      <c r="B33" s="5" t="s">
        <v>32</v>
      </c>
      <c r="C33" s="5" t="s">
        <v>59</v>
      </c>
      <c r="D33" s="5" t="s">
        <v>34</v>
      </c>
      <c r="E33" s="5" t="s">
        <v>18</v>
      </c>
      <c r="F33" s="5" t="s">
        <v>20</v>
      </c>
      <c r="G33" s="6">
        <v>46256</v>
      </c>
      <c r="H33" s="6">
        <v>46274</v>
      </c>
      <c r="I33" s="6"/>
      <c r="J33" s="7">
        <v>0.5</v>
      </c>
      <c r="K33" s="5">
        <f>IF(E33="Completed",IF(I33="","",I33-H33),Dashboard!$B$3-H33)</f>
        <v>18</v>
      </c>
      <c r="L33" s="5" t="s">
        <v>57</v>
      </c>
    </row>
    <row r="34" spans="1:12">
      <c r="A34" s="5" t="s">
        <v>94</v>
      </c>
      <c r="B34" s="5" t="s">
        <v>35</v>
      </c>
      <c r="C34" s="5" t="s">
        <v>61</v>
      </c>
      <c r="D34" s="5" t="s">
        <v>37</v>
      </c>
      <c r="E34" s="5" t="s">
        <v>16</v>
      </c>
      <c r="F34" s="5" t="s">
        <v>19</v>
      </c>
      <c r="G34" s="6">
        <v>46259</v>
      </c>
      <c r="H34" s="6">
        <v>46281</v>
      </c>
      <c r="I34" s="6"/>
      <c r="J34" s="7">
        <v>0</v>
      </c>
      <c r="K34" s="5">
        <f>IF(E34="Completed",IF(I34="","",I34-H34),Dashboard!$B$3-H34)</f>
        <v>11</v>
      </c>
      <c r="L34" s="5" t="s">
        <v>57</v>
      </c>
    </row>
    <row r="35" spans="1:12">
      <c r="A35" s="5" t="s">
        <v>95</v>
      </c>
      <c r="B35" s="5" t="s">
        <v>38</v>
      </c>
      <c r="C35" s="5" t="s">
        <v>63</v>
      </c>
      <c r="D35" s="5" t="s">
        <v>40</v>
      </c>
      <c r="E35" s="5" t="s">
        <v>6</v>
      </c>
      <c r="F35" s="5" t="s">
        <v>20</v>
      </c>
      <c r="G35" s="6">
        <v>46262</v>
      </c>
      <c r="H35" s="6">
        <v>46288</v>
      </c>
      <c r="I35" s="6">
        <v>46288</v>
      </c>
      <c r="J35" s="7">
        <v>1</v>
      </c>
      <c r="K35" s="5">
        <f>IF(E35="Completed",IF(I35="","",I35-H35),Dashboard!$B$3-H35)</f>
        <v>0</v>
      </c>
      <c r="L35" s="5" t="s">
        <v>57</v>
      </c>
    </row>
    <row r="36" spans="1:12" ht="27.6">
      <c r="A36" s="5" t="s">
        <v>96</v>
      </c>
      <c r="B36" s="5" t="s">
        <v>41</v>
      </c>
      <c r="C36" s="5" t="s">
        <v>65</v>
      </c>
      <c r="D36" s="5" t="s">
        <v>43</v>
      </c>
      <c r="E36" s="5" t="s">
        <v>18</v>
      </c>
      <c r="F36" s="5" t="s">
        <v>21</v>
      </c>
      <c r="G36" s="6">
        <v>46265</v>
      </c>
      <c r="H36" s="6">
        <v>46295</v>
      </c>
      <c r="I36" s="6"/>
      <c r="J36" s="7">
        <v>0.85</v>
      </c>
      <c r="K36" s="5">
        <f>IF(E36="Completed",IF(I36="","",I36-H36),Dashboard!$B$3-H36)</f>
        <v>-3</v>
      </c>
      <c r="L36" s="5" t="s">
        <v>57</v>
      </c>
    </row>
    <row r="37" spans="1:12">
      <c r="A37" s="5" t="s">
        <v>97</v>
      </c>
      <c r="B37" s="5" t="s">
        <v>44</v>
      </c>
      <c r="C37" s="5" t="s">
        <v>67</v>
      </c>
      <c r="D37" s="5" t="s">
        <v>46</v>
      </c>
      <c r="E37" s="5" t="s">
        <v>6</v>
      </c>
      <c r="F37" s="5" t="s">
        <v>17</v>
      </c>
      <c r="G37" s="6">
        <v>46268</v>
      </c>
      <c r="H37" s="6">
        <v>46282</v>
      </c>
      <c r="I37" s="6">
        <v>46280</v>
      </c>
      <c r="J37" s="7">
        <v>1</v>
      </c>
      <c r="K37" s="5">
        <f>IF(E37="Completed",IF(I37="","",I37-H37),Dashboard!$B$3-H37)</f>
        <v>-2</v>
      </c>
      <c r="L37" s="5" t="s">
        <v>57</v>
      </c>
    </row>
  </sheetData>
  <conditionalFormatting sqref="E2:E37">
    <cfRule type="expression" dxfId="4" priority="3">
      <formula>E2="Blocked"</formula>
    </cfRule>
    <cfRule type="expression" dxfId="3" priority="4">
      <formula>E2="Completed"</formula>
    </cfRule>
  </conditionalFormatting>
  <conditionalFormatting sqref="J2:J37">
    <cfRule type="dataBar" priority="1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{6787F56D-09AA-86E1-047E-F78BB597D101}</x14:id>
        </ext>
      </extLst>
    </cfRule>
  </conditionalFormatting>
  <conditionalFormatting sqref="K2:K37">
    <cfRule type="expression" dxfId="2" priority="2">
      <formula>K2&gt;0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87F56D-09AA-86E1-047E-F78BB597D101}">
            <x14:dataBar>
              <x14:cfvo type="min"/>
              <x14:cfvo type="max"/>
              <x14:negativeFillColor auto="1"/>
              <x14:axisColor auto="1"/>
            </x14:dataBar>
          </x14:cfRule>
          <xm:sqref>J2:J37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Lists!$A$2:$A$5</xm:f>
          </x14:formula1>
          <xm:sqref>E2:E86</xm:sqref>
        </x14:dataValidation>
        <x14:dataValidation type="list" xr:uid="{00000000-0002-0000-0200-000001000000}">
          <x14:formula1>
            <xm:f>Lists!$B$2:$B$5</xm:f>
          </x14:formula1>
          <xm:sqref>F2:F86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defaultRowHeight="13.8"/>
  <cols>
    <col min="1" max="1" width="11" customWidth="1"/>
    <col min="2" max="2" width="26" customWidth="1"/>
    <col min="3" max="3" width="13" customWidth="1"/>
    <col min="4" max="4" width="34" customWidth="1"/>
    <col min="5" max="5" width="16" customWidth="1"/>
    <col min="6" max="8" width="12" customWidth="1"/>
    <col min="9" max="9" width="13" customWidth="1"/>
    <col min="10" max="10" width="34" customWidth="1"/>
  </cols>
  <sheetData>
    <row r="1" spans="1:10">
      <c r="A1" s="4" t="s">
        <v>98</v>
      </c>
      <c r="B1" s="4" t="s">
        <v>22</v>
      </c>
      <c r="C1" s="4" t="s">
        <v>99</v>
      </c>
      <c r="D1" s="4" t="s">
        <v>100</v>
      </c>
      <c r="E1" s="4" t="s">
        <v>49</v>
      </c>
      <c r="F1" s="4" t="s">
        <v>101</v>
      </c>
      <c r="G1" s="4" t="s">
        <v>102</v>
      </c>
      <c r="H1" s="4" t="s">
        <v>13</v>
      </c>
      <c r="I1" s="4" t="s">
        <v>28</v>
      </c>
      <c r="J1" s="4" t="s">
        <v>103</v>
      </c>
    </row>
    <row r="2" spans="1:10" ht="27.6">
      <c r="A2" s="5" t="s">
        <v>104</v>
      </c>
      <c r="B2" s="5" t="s">
        <v>29</v>
      </c>
      <c r="C2" s="5" t="s">
        <v>105</v>
      </c>
      <c r="D2" s="5" t="s">
        <v>106</v>
      </c>
      <c r="E2" s="5" t="s">
        <v>31</v>
      </c>
      <c r="F2" s="5" t="s">
        <v>20</v>
      </c>
      <c r="G2" s="5" t="s">
        <v>19</v>
      </c>
      <c r="H2" s="5" t="s">
        <v>107</v>
      </c>
      <c r="I2" s="6">
        <v>46300</v>
      </c>
      <c r="J2" s="5" t="s">
        <v>108</v>
      </c>
    </row>
    <row r="3" spans="1:10">
      <c r="A3" s="5" t="s">
        <v>109</v>
      </c>
      <c r="B3" s="5" t="s">
        <v>32</v>
      </c>
      <c r="C3" s="5" t="s">
        <v>110</v>
      </c>
      <c r="D3" s="5" t="s">
        <v>111</v>
      </c>
      <c r="E3" s="5" t="s">
        <v>34</v>
      </c>
      <c r="F3" s="5" t="s">
        <v>19</v>
      </c>
      <c r="G3" s="5" t="s">
        <v>20</v>
      </c>
      <c r="H3" s="5" t="s">
        <v>112</v>
      </c>
      <c r="I3" s="6">
        <v>46297</v>
      </c>
      <c r="J3" s="5" t="s">
        <v>113</v>
      </c>
    </row>
    <row r="4" spans="1:10">
      <c r="A4" s="5" t="s">
        <v>114</v>
      </c>
      <c r="B4" s="5" t="s">
        <v>35</v>
      </c>
      <c r="C4" s="5" t="s">
        <v>115</v>
      </c>
      <c r="D4" s="5" t="s">
        <v>116</v>
      </c>
      <c r="E4" s="5" t="s">
        <v>37</v>
      </c>
      <c r="F4" s="5" t="s">
        <v>20</v>
      </c>
      <c r="G4" s="5" t="s">
        <v>20</v>
      </c>
      <c r="H4" s="5" t="s">
        <v>112</v>
      </c>
      <c r="I4" s="6">
        <v>46295</v>
      </c>
      <c r="J4" s="5" t="s">
        <v>117</v>
      </c>
    </row>
    <row r="5" spans="1:10">
      <c r="A5" s="5" t="s">
        <v>118</v>
      </c>
      <c r="B5" s="5" t="s">
        <v>38</v>
      </c>
      <c r="C5" s="5" t="s">
        <v>105</v>
      </c>
      <c r="D5" s="5" t="s">
        <v>119</v>
      </c>
      <c r="E5" s="5" t="s">
        <v>40</v>
      </c>
      <c r="F5" s="5" t="s">
        <v>20</v>
      </c>
      <c r="G5" s="5" t="s">
        <v>19</v>
      </c>
      <c r="H5" s="5" t="s">
        <v>107</v>
      </c>
      <c r="I5" s="6">
        <v>46303</v>
      </c>
      <c r="J5" s="5" t="s">
        <v>120</v>
      </c>
    </row>
    <row r="6" spans="1:10" ht="27.6">
      <c r="A6" s="5" t="s">
        <v>121</v>
      </c>
      <c r="B6" s="5" t="s">
        <v>41</v>
      </c>
      <c r="C6" s="5" t="s">
        <v>122</v>
      </c>
      <c r="D6" s="5" t="s">
        <v>123</v>
      </c>
      <c r="E6" s="5" t="s">
        <v>43</v>
      </c>
      <c r="F6" s="5" t="s">
        <v>19</v>
      </c>
      <c r="G6" s="5" t="s">
        <v>19</v>
      </c>
      <c r="H6" s="5" t="s">
        <v>107</v>
      </c>
      <c r="I6" s="6">
        <v>46305</v>
      </c>
      <c r="J6" s="5" t="s">
        <v>124</v>
      </c>
    </row>
    <row r="7" spans="1:10">
      <c r="A7" s="5" t="s">
        <v>125</v>
      </c>
      <c r="B7" s="5" t="s">
        <v>44</v>
      </c>
      <c r="C7" s="5" t="s">
        <v>115</v>
      </c>
      <c r="D7" s="5" t="s">
        <v>126</v>
      </c>
      <c r="E7" s="5" t="s">
        <v>46</v>
      </c>
      <c r="F7" s="5" t="s">
        <v>19</v>
      </c>
      <c r="G7" s="5" t="s">
        <v>20</v>
      </c>
      <c r="H7" s="5" t="s">
        <v>112</v>
      </c>
      <c r="I7" s="6">
        <v>46296</v>
      </c>
      <c r="J7" s="5" t="s">
        <v>127</v>
      </c>
    </row>
    <row r="8" spans="1:10">
      <c r="A8" s="5" t="s">
        <v>128</v>
      </c>
      <c r="B8" s="5" t="s">
        <v>29</v>
      </c>
      <c r="C8" s="5" t="s">
        <v>110</v>
      </c>
      <c r="D8" s="5" t="s">
        <v>129</v>
      </c>
      <c r="E8" s="5" t="s">
        <v>31</v>
      </c>
      <c r="F8" s="5" t="s">
        <v>19</v>
      </c>
      <c r="G8" s="5" t="s">
        <v>19</v>
      </c>
      <c r="H8" s="5" t="s">
        <v>130</v>
      </c>
      <c r="I8" s="6">
        <v>46290</v>
      </c>
      <c r="J8" s="5" t="s">
        <v>131</v>
      </c>
    </row>
    <row r="9" spans="1:10">
      <c r="A9" s="5" t="s">
        <v>132</v>
      </c>
      <c r="B9" s="5" t="s">
        <v>35</v>
      </c>
      <c r="C9" s="5" t="s">
        <v>105</v>
      </c>
      <c r="D9" s="5" t="s">
        <v>133</v>
      </c>
      <c r="E9" s="5" t="s">
        <v>37</v>
      </c>
      <c r="F9" s="5" t="s">
        <v>19</v>
      </c>
      <c r="G9" s="5" t="s">
        <v>19</v>
      </c>
      <c r="H9" s="5" t="s">
        <v>112</v>
      </c>
      <c r="I9" s="6">
        <v>46301</v>
      </c>
      <c r="J9" s="5" t="s">
        <v>134</v>
      </c>
    </row>
  </sheetData>
  <conditionalFormatting sqref="H2:H9">
    <cfRule type="expression" dxfId="1" priority="1">
      <formula>H2="Open"</formula>
    </cfRule>
    <cfRule type="expression" dxfId="0" priority="2">
      <formula>H2="Closed"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Lists!$C$2:$C$5</xm:f>
          </x14:formula1>
          <xm:sqref>C2:C28</xm:sqref>
        </x14:dataValidation>
        <x14:dataValidation type="list" xr:uid="{00000000-0002-0000-0300-000001000000}">
          <x14:formula1>
            <xm:f>Lists!$D$2:$D$4</xm:f>
          </x14:formula1>
          <xm:sqref>H2:H28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3.8"/>
  <cols>
    <col min="1" max="1" width="9.09765625" customWidth="1"/>
    <col min="2" max="2" width="6.8984375" customWidth="1"/>
    <col min="3" max="3" width="9.8984375" customWidth="1"/>
    <col min="4" max="4" width="9.5" customWidth="1"/>
  </cols>
  <sheetData>
    <row r="1" spans="1:4">
      <c r="A1" s="1" t="s">
        <v>13</v>
      </c>
      <c r="B1" s="1" t="s">
        <v>15</v>
      </c>
      <c r="C1" s="1" t="s">
        <v>135</v>
      </c>
      <c r="D1" s="1" t="s">
        <v>136</v>
      </c>
    </row>
    <row r="2" spans="1:4">
      <c r="A2" t="s">
        <v>16</v>
      </c>
      <c r="B2" t="s">
        <v>17</v>
      </c>
      <c r="C2" t="s">
        <v>105</v>
      </c>
      <c r="D2" t="s">
        <v>112</v>
      </c>
    </row>
    <row r="3" spans="1:4">
      <c r="A3" t="s">
        <v>18</v>
      </c>
      <c r="B3" t="s">
        <v>19</v>
      </c>
      <c r="C3" t="s">
        <v>122</v>
      </c>
      <c r="D3" t="s">
        <v>107</v>
      </c>
    </row>
    <row r="4" spans="1:4">
      <c r="A4" t="s">
        <v>9</v>
      </c>
      <c r="B4" t="s">
        <v>20</v>
      </c>
      <c r="C4" t="s">
        <v>115</v>
      </c>
      <c r="D4" t="s">
        <v>130</v>
      </c>
    </row>
    <row r="5" spans="1:4">
      <c r="A5" t="s">
        <v>6</v>
      </c>
      <c r="B5" t="s">
        <v>21</v>
      </c>
      <c r="C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</vt:i4>
      </vt:variant>
    </vt:vector>
  </HeadingPairs>
  <TitlesOfParts>
    <vt:vector size="6" baseType="lpstr">
      <vt:lpstr>Dashboard</vt:lpstr>
      <vt:lpstr>Projects</vt:lpstr>
      <vt:lpstr>Tasks</vt:lpstr>
      <vt:lpstr>RAID</vt:lpstr>
      <vt:lpstr>Lists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rashidalbloushi5@gmail.com</cp:lastModifiedBy>
  <dcterms:modified xsi:type="dcterms:W3CDTF">2026-09-28T22:06:00Z</dcterms:modified>
</cp:coreProperties>
</file>