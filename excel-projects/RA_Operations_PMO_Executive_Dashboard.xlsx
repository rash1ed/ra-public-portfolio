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ee8bbc594d4e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cde242ad0ed4ecb"/>
    <x:sheet xmlns:r="http://schemas.openxmlformats.org/officeDocument/2006/relationships" name="Projects" sheetId="2" r:id="R40f1c6136a884924"/>
    <x:sheet xmlns:r="http://schemas.openxmlformats.org/officeDocument/2006/relationships" name="Tasks" sheetId="3" r:id="R9e8ccaa42cb04428"/>
    <x:sheet xmlns:r="http://schemas.openxmlformats.org/officeDocument/2006/relationships" name="RAID" sheetId="4" r:id="R1d9cc0c77cb84710"/>
    <x:sheet xmlns:r="http://schemas.openxmlformats.org/officeDocument/2006/relationships" name="Lists" sheetId="5" r:id="Rd7a61310c8944c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8"/>
      <x:color rgb="FF1F4E78"/>
      <x:name val="Carlito"/>
    </x:font>
    <x:font>
      <x:i/>
      <x:sz val="11"/>
      <x:color rgb="FF666666"/>
      <x:name val="Carlito"/>
    </x:font>
    <x:font>
      <x:b/>
      <x:sz val="11"/>
      <x:color rgb="FF1F1F1F"/>
      <x:name val="Carlito"/>
    </x:font>
    <x:font>
      <x:b/>
      <x:sz val="1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7F9FC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horizontal="center"/>
    </x:xf>
    <x:xf numFmtId="0" fontId="5" fillId="4" borderId="1" xfId="0" applyNumberFormat="1" applyFont="1" applyFill="1" applyBorder="1" applyAlignment="1">
      <x:alignment horizontal="center" vertical="center"/>
    </x:xf>
    <x:xf numFmtId="201" fontId="5" fillId="4" borderId="0" xfId="0" applyNumberFormat="1" applyFont="1" applyFill="1" applyBorder="1" applyAlignment="1">
      <x:alignment horizontal="center" vertical="center"/>
    </x:xf>
    <x:xf numFmtId="201" fontId="5" fillId="4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201" fontId="5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1">
    <x:dxf>
      <x:font>
        <x:b/>
        <x:color rgb="FFA61B1B"/>
      </x:font>
      <x:fill>
        <x:patternFill>
          <x:bgColor rgb="FFFCE8E6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D9EAD3"/>
        </x:patternFill>
      </x:fill>
    </x:dxf>
    <x:dxf>
      <x:font>
        <x:b/>
      </x:font>
      <x:fill>
        <x:patternFill>
          <x:bgColor rgb="FFFCE8E6"/>
        </x:patternFill>
      </x:fill>
    </x:dxf>
    <x:dxf>
      <x:fill>
        <x:patternFill>
          <x:bgColor rgb="FFD9EAD3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D9EAD3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4adabf07524281" /><Relationship Type="http://schemas.openxmlformats.org/officeDocument/2006/relationships/theme" Target="/xl/theme/theme1.xml" Id="Re5d273fde699458a" /><Relationship Type="http://schemas.openxmlformats.org/officeDocument/2006/relationships/sharedStrings" Target="/xl/sharedStrings.xml" Id="R29737383e27b487e" /><Relationship Type="http://schemas.openxmlformats.org/officeDocument/2006/relationships/worksheet" Target="/xl/worksheets/sheet1.xml" Id="R6cde242ad0ed4ecb" /><Relationship Type="http://schemas.openxmlformats.org/officeDocument/2006/relationships/worksheet" Target="/xl/worksheets/sheet2.xml" Id="R40f1c6136a884924" /><Relationship Type="http://schemas.openxmlformats.org/officeDocument/2006/relationships/worksheet" Target="/xl/worksheets/sheet3.xml" Id="R9e8ccaa42cb04428" /><Relationship Type="http://schemas.openxmlformats.org/officeDocument/2006/relationships/worksheet" Target="/xl/worksheets/sheet4.xml" Id="R1d9cc0c77cb84710" /><Relationship Type="http://schemas.openxmlformats.org/officeDocument/2006/relationships/worksheet" Target="/xl/worksheets/sheet5.xml" Id="Rd7a61310c8944cb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1a3725f454f4480" /><Relationship Type="http://schemas.openxmlformats.org/officeDocument/2006/relationships/chart" Target="/xl/drawings/charts/chart2.xml" Id="Rb3753730523746e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 Status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'Dashboard'!$A$13:$A$16</c:f>
              <c:strCache>
                <c:ptCount val="0"/>
              </c:strCache>
            </c:strRef>
          </c:cat>
          <c:val>
            <c:numRef>
              <c:f>'Dashboard'!$B$13:$B$16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Priority Mix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'Dashboard'!$D$13:$D$16</c:f>
              <c:strCache>
                <c:ptCount val="0"/>
              </c:strCache>
            </c:strRef>
          </c:cat>
          <c:val>
            <c:numRef>
              <c:f>'Dashboard'!$E$13:$E$16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11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a3725f454f4480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14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753730523746e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3" name="ProjectsTable" displayName="ProjectsTable" ref="A1:L7" headerRowCount="1" totalsRowCount="0" totalsRowShown="0">
  <x:tableColumns count="12">
    <x:tableColumn id="1" name="Project"/>
    <x:tableColumn id="2" name="Sponsor"/>
    <x:tableColumn id="3" name="Project Manager"/>
    <x:tableColumn id="4" name="Start Date"/>
    <x:tableColumn id="5" name="Target Date"/>
    <x:tableColumn id="6" name="Total Tasks"/>
    <x:tableColumn id="7" name="Completed"/>
    <x:tableColumn id="8" name="Completion %"/>
    <x:tableColumn id="9" name="Overdue"/>
    <x:tableColumn id="10" name="Blocked"/>
    <x:tableColumn id="11" name="Open RAID"/>
    <x:tableColumn id="12" name="RA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TasksTable" displayName="TasksTable" ref="A1:L37" headerRowCount="1" totalsRowCount="0" totalsRowShown="0">
  <x:tableColumns count="12">
    <x:tableColumn id="1" name="Task ID"/>
    <x:tableColumn id="2" name="Project"/>
    <x:tableColumn id="3" name="Workstream"/>
    <x:tableColumn id="4" name="Owner"/>
    <x:tableColumn id="5" name="Status"/>
    <x:tableColumn id="6" name="Priority"/>
    <x:tableColumn id="7" name="Start Date"/>
    <x:tableColumn id="8" name="Due Date"/>
    <x:tableColumn id="9" name="Completion Date"/>
    <x:tableColumn id="10" name="Progress %"/>
    <x:tableColumn id="11" name="Days Variance"/>
    <x:tableColumn id="1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aidTable" displayName="RaidTable" ref="A1:J9" headerRowCount="1" totalsRowCount="0" totalsRowShown="0">
  <x:tableColumns count="10">
    <x:tableColumn id="1" name="RAID ID"/>
    <x:tableColumn id="2" name="Project"/>
    <x:tableColumn id="3" name="Type"/>
    <x:tableColumn id="4" name="Description"/>
    <x:tableColumn id="5" name="Owner"/>
    <x:tableColumn id="6" name="Impact"/>
    <x:tableColumn id="7" name="Probability"/>
    <x:tableColumn id="8" name="Status"/>
    <x:tableColumn id="9" name="Target Date"/>
    <x:tableColumn id="10" name="Mitigation / 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74dddc92fd842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3187122f3448a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6cc3cf5c74440a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2c36de55e6a456a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1" hidden="0" customWidth="1"/>
    <x:col min="7" max="7" width="12" hidden="0" customWidth="1"/>
    <x:col min="8" max="8" width="12" hidden="0" customWidth="1"/>
  </x:cols>
  <x:sheetData>
    <x:row r="1">
      <x:c r="A1" s="42" t="str">
        <x:v>RA | Operations &amp; PMO Executive Dashboard</x:v>
      </x:c>
      <x:c r="B1" s="42"/>
      <x:c r="C1" s="42"/>
      <x:c r="D1" s="42"/>
      <x:c r="E1" s="42"/>
      <x:c r="F1" s="42"/>
      <x:c r="G1" s="42"/>
      <x:c r="H1" s="42"/>
    </x:row>
    <x:row r="2">
      <x:c r="A2" s="43" t="str">
        <x:v>Synthetic portfolio project for Operations / PMO / Reporting / Data Analysis</x:v>
      </x:c>
      <x:c r="B2" s="43"/>
      <x:c r="C2" s="43"/>
      <x:c r="D2" s="43"/>
      <x:c r="E2" s="43"/>
      <x:c r="F2" s="43"/>
      <x:c r="G2" s="43"/>
      <x:c r="H2" s="43"/>
    </x:row>
    <x:row r="3">
      <x:c r="A3" s="15" t="str">
        <x:v>As-of Date</x:v>
      </x:c>
      <x:c r="B3" s="16" t="n">
        <x:v>46292</x:v>
      </x:c>
      <x:c r="C3" s="15"/>
      <x:c r="D3" s="15" t="str">
        <x:v>Data note</x:v>
      </x:c>
      <x:c r="E3" s="15" t="str">
        <x:v>All records are synthetic and safe for public portfolio use.</x:v>
      </x:c>
      <x:c r="F3" s="15"/>
      <x:c r="G3" s="15"/>
      <x:c r="H3" s="15"/>
    </x:row>
    <x:row r="4">
      <x:c r="A4" s="15"/>
      <x:c r="B4" s="15"/>
      <x:c r="C4" s="15"/>
      <x:c r="D4" s="15"/>
      <x:c r="E4" s="15"/>
      <x:c r="F4" s="15"/>
      <x:c r="G4" s="15"/>
      <x:c r="H4" s="15"/>
    </x:row>
    <x:row r="5">
      <x:c r="A5" s="44" t="str">
        <x:v>Total Tasks</x:v>
      </x:c>
      <x:c r="B5" s="44"/>
      <x:c r="C5" s="44" t="str">
        <x:v>Completed</x:v>
      </x:c>
      <x:c r="D5" s="44"/>
      <x:c r="E5" s="44" t="str">
        <x:v>Completion Rate</x:v>
      </x:c>
      <x:c r="F5" s="44"/>
      <x:c r="G5" s="44" t="str">
        <x:v>Overdue</x:v>
      </x:c>
      <x:c r="H5" s="44"/>
    </x:row>
    <x:row r="6">
      <x:c r="A6" s="45" t="n">
        <x:f>COUNTA(Tasks!$A$2:$A$37)</x:f>
        <x:v>36</x:v>
      </x:c>
      <x:c r="B6" s="45"/>
      <x:c r="C6" s="45" t="n">
        <x:f>COUNTIF(Tasks!$E$2:$E$37,"Completed")</x:f>
        <x:v>13</x:v>
      </x:c>
      <x:c r="D6" s="45"/>
      <x:c r="E6" s="46" t="n">
        <x:f>IF(A6=0,0,C6/A6)</x:f>
        <x:v>0.3611111111111111</x:v>
      </x:c>
      <x:c r="F6" s="46"/>
      <x:c r="G6" s="45" t="n">
        <x:f>COUNTIFS(Tasks!$E$2:$E$37,"&lt;&gt;Completed",Tasks!$H$2:$H$37,"&lt;"&amp;$B$3)</x:f>
        <x:v>21</x:v>
      </x:c>
      <x:c r="H6" s="45"/>
    </x:row>
    <x:row r="7">
      <x:c r="A7" s="15"/>
      <x:c r="B7" s="15"/>
      <x:c r="C7" s="15"/>
      <x:c r="D7" s="15"/>
      <x:c r="E7" s="15"/>
      <x:c r="F7" s="15"/>
      <x:c r="G7" s="15"/>
      <x:c r="H7" s="15"/>
    </x:row>
    <x:row r="8">
      <x:c r="A8" s="44" t="str">
        <x:v>Blocked</x:v>
      </x:c>
      <x:c r="B8" s="44"/>
      <x:c r="C8" s="44" t="str">
        <x:v>Open RAID</x:v>
      </x:c>
      <x:c r="D8" s="44"/>
      <x:c r="E8" s="44" t="str">
        <x:v>Red Projects</x:v>
      </x:c>
      <x:c r="F8" s="44"/>
      <x:c r="G8" s="44" t="str">
        <x:v>Projects</x:v>
      </x:c>
      <x:c r="H8" s="44"/>
    </x:row>
    <x:row r="9">
      <x:c r="A9" s="45" t="n">
        <x:f>COUNTIF(Tasks!$E$2:$E$37,"Blocked")</x:f>
        <x:v>5</x:v>
      </x:c>
      <x:c r="B9" s="45"/>
      <x:c r="C9" s="45" t="n">
        <x:f>COUNTIFS(RAID!$H$2:$H$9,"&lt;&gt;Closed",RAID!$H$2:$H$9,"&lt;&gt;")</x:f>
        <x:v>7</x:v>
      </x:c>
      <x:c r="D9" s="45"/>
      <x:c r="E9" s="45" t="n">
        <x:f>COUNTIF(Projects!$L$2:$L$7,"Red")</x:f>
        <x:v>6</x:v>
      </x:c>
      <x:c r="F9" s="45"/>
      <x:c r="G9" s="45" t="n">
        <x:f>COUNTA(Projects!$A$2:$A$7)</x:f>
        <x:v>6</x:v>
      </x:c>
      <x:c r="H9" s="45"/>
    </x:row>
    <x:row r="10">
      <x:c r="A10" s="15"/>
      <x:c r="B10" s="15"/>
      <x:c r="C10" s="15"/>
      <x:c r="D10" s="15"/>
      <x:c r="E10" s="15"/>
      <x:c r="F10" s="15"/>
      <x:c r="G10" s="15"/>
      <x:c r="H10" s="15"/>
    </x:row>
    <x:row r="11">
      <x:c r="A11" s="15"/>
      <x:c r="B11" s="15"/>
      <x:c r="C11" s="15"/>
      <x:c r="D11" s="15"/>
      <x:c r="E11" s="15"/>
      <x:c r="F11" s="15"/>
      <x:c r="G11" s="15"/>
      <x:c r="H11" s="15"/>
    </x:row>
    <x:row r="12">
      <x:c r="A12" s="14" t="str">
        <x:v>Status</x:v>
      </x:c>
      <x:c r="B12" s="14" t="str">
        <x:v>Count</x:v>
      </x:c>
      <x:c r="C12" s="15"/>
      <x:c r="D12" s="14" t="str">
        <x:v>Priority</x:v>
      </x:c>
      <x:c r="E12" s="14" t="str">
        <x:v>Count</x:v>
      </x:c>
      <x:c r="F12" s="15"/>
      <x:c r="G12" s="15"/>
      <x:c r="H12" s="15"/>
    </x:row>
    <x:row r="13">
      <x:c r="A13" s="15" t="str">
        <x:v>Not Started</x:v>
      </x:c>
      <x:c r="B13" s="15" t="n">
        <x:f>COUNTIF(Tasks!$E$2:$E$37,A13)</x:f>
        <x:v>6</x:v>
      </x:c>
      <x:c r="C13" s="15"/>
      <x:c r="D13" s="15" t="str">
        <x:v>Low</x:v>
      </x:c>
      <x:c r="E13" s="15" t="n">
        <x:f>COUNTIF(Tasks!$F$2:$F$37,D13)</x:f>
        <x:v>5</x:v>
      </x:c>
      <x:c r="F13" s="15"/>
      <x:c r="G13" s="15"/>
      <x:c r="H13" s="15"/>
    </x:row>
    <x:row r="14">
      <x:c r="A14" s="15" t="str">
        <x:v>In Progress</x:v>
      </x:c>
      <x:c r="B14" s="15" t="n">
        <x:f>COUNTIF(Tasks!$E$2:$E$37,A14)</x:f>
        <x:v>12</x:v>
      </x:c>
      <x:c r="C14" s="15"/>
      <x:c r="D14" s="15" t="str">
        <x:v>Medium</x:v>
      </x:c>
      <x:c r="E14" s="15" t="n">
        <x:f>COUNTIF(Tasks!$F$2:$F$37,D14)</x:f>
        <x:v>11</x:v>
      </x:c>
      <x:c r="F14" s="15"/>
      <x:c r="G14" s="15"/>
      <x:c r="H14" s="15"/>
    </x:row>
    <x:row r="15">
      <x:c r="A15" s="15" t="str">
        <x:v>Blocked</x:v>
      </x:c>
      <x:c r="B15" s="15" t="n">
        <x:f>COUNTIF(Tasks!$E$2:$E$37,A15)</x:f>
        <x:v>5</x:v>
      </x:c>
      <x:c r="C15" s="15"/>
      <x:c r="D15" s="15" t="str">
        <x:v>High</x:v>
      </x:c>
      <x:c r="E15" s="15" t="n">
        <x:f>COUNTIF(Tasks!$F$2:$F$37,D15)</x:f>
        <x:v>14</x:v>
      </x:c>
      <x:c r="F15" s="15"/>
      <x:c r="G15" s="15"/>
      <x:c r="H15" s="15"/>
    </x:row>
    <x:row r="16">
      <x:c r="A16" s="15" t="str">
        <x:v>Completed</x:v>
      </x:c>
      <x:c r="B16" s="15" t="n">
        <x:f>COUNTIF(Tasks!$E$2:$E$37,A16)</x:f>
        <x:v>13</x:v>
      </x:c>
      <x:c r="C16" s="15"/>
      <x:c r="D16" s="15" t="str">
        <x:v>Critical</x:v>
      </x:c>
      <x:c r="E16" s="15" t="n">
        <x:f>COUNTIF(Tasks!$F$2:$F$37,D16)</x:f>
        <x:v>6</x:v>
      </x:c>
      <x:c r="F16" s="15"/>
      <x:c r="G16" s="15"/>
      <x:c r="H16" s="15"/>
    </x:row>
    <x:row r="17">
      <x:c r="A17" s="15"/>
      <x:c r="B17" s="15"/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14" t="str">
        <x:v>Project</x:v>
      </x:c>
      <x:c r="B19" s="14" t="str">
        <x:v>Completion %</x:v>
      </x:c>
      <x:c r="C19" s="14" t="str">
        <x:v>Overdue</x:v>
      </x:c>
      <x:c r="D19" s="14" t="str">
        <x:v>Blocked</x:v>
      </x:c>
      <x:c r="E19" s="14" t="str">
        <x:v>Open RAID</x:v>
      </x:c>
      <x:c r="F19" s="14" t="str">
        <x:v>RAG</x:v>
      </x:c>
      <x:c r="G19" s="15"/>
      <x:c r="H19" s="15"/>
    </x:row>
    <x:row r="20">
      <x:c r="A20" s="15" t="str">
        <x:f>Projects!A2</x:f>
        <x:v>PMO Governance Upgrade</x:v>
      </x:c>
      <x:c r="B20" s="17" t="n">
        <x:f>Projects!H2</x:f>
        <x:v>0.5</x:v>
      </x:c>
      <x:c r="C20" s="15" t="n">
        <x:f>Projects!I2</x:f>
        <x:v>3</x:v>
      </x:c>
      <x:c r="D20" s="15" t="n">
        <x:f>Projects!J2</x:f>
        <x:v>0</x:v>
      </x:c>
      <x:c r="E20" s="15" t="n">
        <x:f>Projects!K2</x:f>
        <x:v>1</x:v>
      </x:c>
      <x:c r="F20" s="15" t="str">
        <x:f>Projects!L2</x:f>
        <x:v>Red</x:v>
      </x:c>
      <x:c r="G20" s="15"/>
      <x:c r="H20" s="15"/>
    </x:row>
    <x:row r="21">
      <x:c r="A21" s="15" t="str">
        <x:f>Projects!A3</x:f>
        <x:v>Executive Reporting Pack</x:v>
      </x:c>
      <x:c r="B21" s="17" t="n">
        <x:f>Projects!H3</x:f>
        <x:v>0.3333333333333333</x:v>
      </x:c>
      <x:c r="C21" s="15" t="n">
        <x:f>Projects!I3</x:f>
        <x:v>4</x:v>
      </x:c>
      <x:c r="D21" s="15" t="n">
        <x:f>Projects!J3</x:f>
        <x:v>0</x:v>
      </x:c>
      <x:c r="E21" s="15" t="n">
        <x:f>Projects!K3</x:f>
        <x:v>1</x:v>
      </x:c>
      <x:c r="F21" s="15" t="str">
        <x:f>Projects!L3</x:f>
        <x:v>Red</x:v>
      </x:c>
      <x:c r="G21" s="15"/>
      <x:c r="H21" s="15"/>
    </x:row>
    <x:row r="22">
      <x:c r="A22" s="15" t="str">
        <x:f>Projects!A4</x:f>
        <x:v>Customer Service SLA</x:v>
      </x:c>
      <x:c r="B22" s="17" t="n">
        <x:f>Projects!H4</x:f>
        <x:v>0.16666666666666666</x:v>
      </x:c>
      <x:c r="C22" s="15" t="n">
        <x:f>Projects!I4</x:f>
        <x:v>5</x:v>
      </x:c>
      <x:c r="D22" s="15" t="n">
        <x:f>Projects!J4</x:f>
        <x:v>1</x:v>
      </x:c>
      <x:c r="E22" s="15" t="n">
        <x:f>Projects!K4</x:f>
        <x:v>2</x:v>
      </x:c>
      <x:c r="F22" s="15" t="str">
        <x:f>Projects!L4</x:f>
        <x:v>Red</x:v>
      </x:c>
      <x:c r="G22" s="15"/>
      <x:c r="H22" s="15"/>
    </x:row>
    <x:row r="23">
      <x:c r="A23" s="15" t="str">
        <x:f>Projects!A5</x:f>
        <x:v>Inventory Accuracy</x:v>
      </x:c>
      <x:c r="B23" s="17" t="n">
        <x:f>Projects!H5</x:f>
        <x:v>0.16666666666666666</x:v>
      </x:c>
      <x:c r="C23" s="15" t="n">
        <x:f>Projects!I5</x:f>
        <x:v>4</x:v>
      </x:c>
      <x:c r="D23" s="15" t="n">
        <x:f>Projects!J5</x:f>
        <x:v>2</x:v>
      </x:c>
      <x:c r="E23" s="15" t="n">
        <x:f>Projects!K5</x:f>
        <x:v>1</x:v>
      </x:c>
      <x:c r="F23" s="15" t="str">
        <x:f>Projects!L5</x:f>
        <x:v>Red</x:v>
      </x:c>
      <x:c r="G23" s="15"/>
      <x:c r="H23" s="15"/>
    </x:row>
    <x:row r="24">
      <x:c r="A24" s="15" t="str">
        <x:f>Projects!A6</x:f>
        <x:v>Warehouse Process Improvement</x:v>
      </x:c>
      <x:c r="B24" s="17" t="n">
        <x:f>Projects!H6</x:f>
        <x:v>0.16666666666666666</x:v>
      </x:c>
      <x:c r="C24" s="15" t="n">
        <x:f>Projects!I6</x:f>
        <x:v>4</x:v>
      </x:c>
      <x:c r="D24" s="15" t="n">
        <x:f>Projects!J6</x:f>
        <x:v>1</x:v>
      </x:c>
      <x:c r="E24" s="15" t="n">
        <x:f>Projects!K6</x:f>
        <x:v>1</x:v>
      </x:c>
      <x:c r="F24" s="15" t="str">
        <x:f>Projects!L6</x:f>
        <x:v>Red</x:v>
      </x:c>
      <x:c r="G24" s="15"/>
      <x:c r="H24" s="15"/>
    </x:row>
    <x:row r="25">
      <x:c r="A25" s="15" t="str">
        <x:f>Projects!A7</x:f>
        <x:v>Recruitment Analytics</x:v>
      </x:c>
      <x:c r="B25" s="17" t="n">
        <x:f>Projects!H7</x:f>
        <x:v>0.8333333333333334</x:v>
      </x:c>
      <x:c r="C25" s="15" t="n">
        <x:f>Projects!I7</x:f>
        <x:v>1</x:v>
      </x:c>
      <x:c r="D25" s="15" t="n">
        <x:f>Projects!J7</x:f>
        <x:v>1</x:v>
      </x:c>
      <x:c r="E25" s="15" t="n">
        <x:f>Projects!K7</x:f>
        <x:v>1</x:v>
      </x:c>
      <x:c r="F25" s="15" t="str">
        <x:f>Projects!L7</x:f>
        <x:v>Red</x:v>
      </x:c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</x:sheetData>
  <x:mergeCells>
    <x:mergeCell ref="A1:H1"/>
    <x:mergeCell ref="A2:H2"/>
    <x:mergeCell ref="E3:H3"/>
    <x:mergeCell ref="A5:B5"/>
    <x:mergeCell ref="A6:B6"/>
    <x:mergeCell ref="C5:D5"/>
    <x:mergeCell ref="C6:D6"/>
    <x:mergeCell ref="E5:F5"/>
    <x:mergeCell ref="E6:F6"/>
    <x:mergeCell ref="G5:H5"/>
    <x:mergeCell ref="G6:H6"/>
    <x:mergeCell ref="A8:B8"/>
    <x:mergeCell ref="A9:B9"/>
    <x:mergeCell ref="C8:D8"/>
    <x:mergeCell ref="C9:D9"/>
    <x:mergeCell ref="E8:F8"/>
    <x:mergeCell ref="E9:F9"/>
    <x:mergeCell ref="G8:H8"/>
    <x:mergeCell ref="G9:H9"/>
  </x:mergeCells>
  <x:conditionalFormatting sqref="B20:B25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conditionalFormatting sqref="F20:F25">
    <x:cfRule type="expression" dxfId="8" priority="2">
      <x:formula>F20="Red"</x:formula>
    </x:cfRule>
    <x:cfRule type="expression" dxfId="9" priority="3">
      <x:formula>F20="Amber"</x:formula>
    </x:cfRule>
    <x:cfRule type="expression" dxfId="10" priority="4">
      <x:formula>F20="Green"</x:formula>
    </x:cfRule>
  </x:conditionalFormatting>
  <x:pageMargins left="0.7" right="0.7" top="0.75" bottom="0.75" header="0.3" footer="0.3"/>
  <x:drawing xmlns:r="http://schemas.openxmlformats.org/officeDocument/2006/relationships" r:id="Rd74dddc92fd8426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5B9BD5"/>
            </x14:dataBar>
          </x14:cfRule>
          <xm:sqref>B20:B25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  <x:col min="3" max="3" width="18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3" hidden="0" customWidth="1"/>
    <x:col min="9" max="9" width="10" hidden="0" customWidth="1"/>
    <x:col min="10" max="10" width="10" hidden="0" customWidth="1"/>
    <x:col min="11" max="11" width="10" hidden="0" customWidth="1"/>
    <x:col min="12" max="12" width="11" hidden="0" customWidth="1"/>
  </x:cols>
  <x:sheetData>
    <x:row r="1">
      <x:c r="A1" s="5" t="str">
        <x:v>Project</x:v>
      </x:c>
      <x:c r="B1" s="5" t="str">
        <x:v>Sponsor</x:v>
      </x:c>
      <x:c r="C1" s="5" t="str">
        <x:v>Project Manager</x:v>
      </x:c>
      <x:c r="D1" s="5" t="str">
        <x:v>Start Date</x:v>
      </x:c>
      <x:c r="E1" s="5" t="str">
        <x:v>Target Date</x:v>
      </x:c>
      <x:c r="F1" s="5" t="str">
        <x:v>Total Tasks</x:v>
      </x:c>
      <x:c r="G1" s="5" t="str">
        <x:v>Completed</x:v>
      </x:c>
      <x:c r="H1" s="5" t="str">
        <x:v>Completion %</x:v>
      </x:c>
      <x:c r="I1" s="5" t="str">
        <x:v>Overdue</x:v>
      </x:c>
      <x:c r="J1" s="5" t="str">
        <x:v>Blocked</x:v>
      </x:c>
      <x:c r="K1" s="5" t="str">
        <x:v>Open RAID</x:v>
      </x:c>
      <x:c r="L1" s="5" t="str">
        <x:v>RAG</x:v>
      </x:c>
    </x:row>
    <x:row r="2">
      <x:c r="A2" t="str">
        <x:v>PMO Governance Upgrade</x:v>
      </x:c>
      <x:c r="B2" t="str">
        <x:v>COO</x:v>
      </x:c>
      <x:c r="C2" t="str">
        <x:v>R. Albloushi</x:v>
      </x:c>
      <x:c r="D2" s="10" t="n">
        <x:v>46235</x:v>
      </x:c>
      <x:c r="E2" s="10" t="n">
        <x:v>46310</x:v>
      </x:c>
      <x:c r="F2" t="n">
        <x:f>COUNTIF(Tasks!$B$2:$B$100,A2)</x:f>
        <x:v>6</x:v>
      </x:c>
      <x:c r="G2" t="n">
        <x:f>COUNTIFS(Tasks!$B$2:$B$100,A2,Tasks!$E$2:$E$100,"Completed")</x:f>
        <x:v>3</x:v>
      </x:c>
      <x:c r="H2" s="12" t="n">
        <x:f>IF(F2=0,0,G2/F2)</x:f>
        <x:v>0.5</x:v>
      </x:c>
      <x:c r="I2" t="n">
        <x:f>COUNTIFS(Tasks!$B$2:$B$100,A2,Tasks!$E$2:$E$100,"&lt;&gt;Completed",Tasks!$H$2:$H$100,"&lt;"&amp;Dashboard!$B$3)</x:f>
        <x:v>3</x:v>
      </x:c>
      <x:c r="J2" t="n">
        <x:f>COUNTIFS(Tasks!$B$2:$B$100,A2,Tasks!$E$2:$E$100,"Blocked")</x:f>
        <x:v>0</x:v>
      </x:c>
      <x:c r="K2" t="n">
        <x:f>COUNTIFS(RAID!$B$2:$B$100,A2,RAID!$H$2:$H$100,"&lt;&gt;Closed")</x:f>
        <x:v>1</x:v>
      </x:c>
      <x:c r="L2" t="str">
        <x:f>IF(OR(J2&gt;0,I2&gt;=2,K2&gt;=2),"Red",IF(OR(I2&gt;0,K2&gt;0),"Amber","Green"))</x:f>
        <x:v>Red</x:v>
      </x:c>
    </x:row>
    <x:row r="3">
      <x:c r="A3" t="str">
        <x:v>Executive Reporting Pack</x:v>
      </x:c>
      <x:c r="B3" t="str">
        <x:v>CFO</x:v>
      </x:c>
      <x:c r="C3" t="str">
        <x:v>A. Hassan</x:v>
      </x:c>
      <x:c r="D3" s="10" t="n">
        <x:v>46238</x:v>
      </x:c>
      <x:c r="E3" s="10" t="n">
        <x:v>46315</x:v>
      </x:c>
      <x:c r="F3" t="n">
        <x:f>COUNTIF(Tasks!$B$2:$B$100,A3)</x:f>
        <x:v>6</x:v>
      </x:c>
      <x:c r="G3" t="n">
        <x:f>COUNTIFS(Tasks!$B$2:$B$100,A3,Tasks!$E$2:$E$100,"Completed")</x:f>
        <x:v>2</x:v>
      </x:c>
      <x:c r="H3" s="12" t="n">
        <x:f>IF(F3=0,0,G3/F3)</x:f>
        <x:v>0.3333333333333333</x:v>
      </x:c>
      <x:c r="I3" t="n">
        <x:f>COUNTIFS(Tasks!$B$2:$B$100,A3,Tasks!$E$2:$E$100,"&lt;&gt;Completed",Tasks!$H$2:$H$100,"&lt;"&amp;Dashboard!$B$3)</x:f>
        <x:v>4</x:v>
      </x:c>
      <x:c r="J3" t="n">
        <x:f>COUNTIFS(Tasks!$B$2:$B$100,A3,Tasks!$E$2:$E$100,"Blocked")</x:f>
        <x:v>0</x:v>
      </x:c>
      <x:c r="K3" t="n">
        <x:f>COUNTIFS(RAID!$B$2:$B$100,A3,RAID!$H$2:$H$100,"&lt;&gt;Closed")</x:f>
        <x:v>1</x:v>
      </x:c>
      <x:c r="L3" t="str">
        <x:f>IF(OR(J3&gt;0,I3&gt;=2,K3&gt;=2),"Red",IF(OR(I3&gt;0,K3&gt;0),"Amber","Green"))</x:f>
        <x:v>Red</x:v>
      </x:c>
    </x:row>
    <x:row r="4">
      <x:c r="A4" t="str">
        <x:v>Customer Service SLA</x:v>
      </x:c>
      <x:c r="B4" t="str">
        <x:v>CX Director</x:v>
      </x:c>
      <x:c r="C4" t="str">
        <x:v>M. Khan</x:v>
      </x:c>
      <x:c r="D4" s="10" t="n">
        <x:v>46241</x:v>
      </x:c>
      <x:c r="E4" s="10" t="n">
        <x:v>46320</x:v>
      </x:c>
      <x:c r="F4" t="n">
        <x:f>COUNTIF(Tasks!$B$2:$B$100,A4)</x:f>
        <x:v>6</x:v>
      </x:c>
      <x:c r="G4" t="n">
        <x:f>COUNTIFS(Tasks!$B$2:$B$100,A4,Tasks!$E$2:$E$100,"Completed")</x:f>
        <x:v>1</x:v>
      </x:c>
      <x:c r="H4" s="12" t="n">
        <x:f>IF(F4=0,0,G4/F4)</x:f>
        <x:v>0.16666666666666666</x:v>
      </x:c>
      <x:c r="I4" t="n">
        <x:f>COUNTIFS(Tasks!$B$2:$B$100,A4,Tasks!$E$2:$E$100,"&lt;&gt;Completed",Tasks!$H$2:$H$100,"&lt;"&amp;Dashboard!$B$3)</x:f>
        <x:v>5</x:v>
      </x:c>
      <x:c r="J4" t="n">
        <x:f>COUNTIFS(Tasks!$B$2:$B$100,A4,Tasks!$E$2:$E$100,"Blocked")</x:f>
        <x:v>1</x:v>
      </x:c>
      <x:c r="K4" t="n">
        <x:f>COUNTIFS(RAID!$B$2:$B$100,A4,RAID!$H$2:$H$100,"&lt;&gt;Closed")</x:f>
        <x:v>2</x:v>
      </x:c>
      <x:c r="L4" t="str">
        <x:f>IF(OR(J4&gt;0,I4&gt;=2,K4&gt;=2),"Red",IF(OR(I4&gt;0,K4&gt;0),"Amber","Green"))</x:f>
        <x:v>Red</x:v>
      </x:c>
    </x:row>
    <x:row r="5">
      <x:c r="A5" t="str">
        <x:v>Inventory Accuracy</x:v>
      </x:c>
      <x:c r="B5" t="str">
        <x:v>Supply Chain Director</x:v>
      </x:c>
      <x:c r="C5" t="str">
        <x:v>S. Omar</x:v>
      </x:c>
      <x:c r="D5" s="10" t="n">
        <x:v>46244</x:v>
      </x:c>
      <x:c r="E5" s="10" t="n">
        <x:v>46325</x:v>
      </x:c>
      <x:c r="F5" t="n">
        <x:f>COUNTIF(Tasks!$B$2:$B$100,A5)</x:f>
        <x:v>6</x:v>
      </x:c>
      <x:c r="G5" t="n">
        <x:f>COUNTIFS(Tasks!$B$2:$B$100,A5,Tasks!$E$2:$E$100,"Completed")</x:f>
        <x:v>1</x:v>
      </x:c>
      <x:c r="H5" s="12" t="n">
        <x:f>IF(F5=0,0,G5/F5)</x:f>
        <x:v>0.16666666666666666</x:v>
      </x:c>
      <x:c r="I5" t="n">
        <x:f>COUNTIFS(Tasks!$B$2:$B$100,A5,Tasks!$E$2:$E$100,"&lt;&gt;Completed",Tasks!$H$2:$H$100,"&lt;"&amp;Dashboard!$B$3)</x:f>
        <x:v>4</x:v>
      </x:c>
      <x:c r="J5" t="n">
        <x:f>COUNTIFS(Tasks!$B$2:$B$100,A5,Tasks!$E$2:$E$100,"Blocked")</x:f>
        <x:v>2</x:v>
      </x:c>
      <x:c r="K5" t="n">
        <x:f>COUNTIFS(RAID!$B$2:$B$100,A5,RAID!$H$2:$H$100,"&lt;&gt;Closed")</x:f>
        <x:v>1</x:v>
      </x:c>
      <x:c r="L5" t="str">
        <x:f>IF(OR(J5&gt;0,I5&gt;=2,K5&gt;=2),"Red",IF(OR(I5&gt;0,K5&gt;0),"Amber","Green"))</x:f>
        <x:v>Red</x:v>
      </x:c>
    </x:row>
    <x:row r="6">
      <x:c r="A6" t="str">
        <x:v>Warehouse Process Improvement</x:v>
      </x:c>
      <x:c r="B6" t="str">
        <x:v>Operations Director</x:v>
      </x:c>
      <x:c r="C6" t="str">
        <x:v>N. Ali</x:v>
      </x:c>
      <x:c r="D6" s="10" t="n">
        <x:v>46247</x:v>
      </x:c>
      <x:c r="E6" s="10" t="n">
        <x:v>46330</x:v>
      </x:c>
      <x:c r="F6" t="n">
        <x:f>COUNTIF(Tasks!$B$2:$B$100,A6)</x:f>
        <x:v>6</x:v>
      </x:c>
      <x:c r="G6" t="n">
        <x:f>COUNTIFS(Tasks!$B$2:$B$100,A6,Tasks!$E$2:$E$100,"Completed")</x:f>
        <x:v>1</x:v>
      </x:c>
      <x:c r="H6" s="12" t="n">
        <x:f>IF(F6=0,0,G6/F6)</x:f>
        <x:v>0.16666666666666666</x:v>
      </x:c>
      <x:c r="I6" t="n">
        <x:f>COUNTIFS(Tasks!$B$2:$B$100,A6,Tasks!$E$2:$E$100,"&lt;&gt;Completed",Tasks!$H$2:$H$100,"&lt;"&amp;Dashboard!$B$3)</x:f>
        <x:v>4</x:v>
      </x:c>
      <x:c r="J6" t="n">
        <x:f>COUNTIFS(Tasks!$B$2:$B$100,A6,Tasks!$E$2:$E$100,"Blocked")</x:f>
        <x:v>1</x:v>
      </x:c>
      <x:c r="K6" t="n">
        <x:f>COUNTIFS(RAID!$B$2:$B$100,A6,RAID!$H$2:$H$100,"&lt;&gt;Closed")</x:f>
        <x:v>1</x:v>
      </x:c>
      <x:c r="L6" t="str">
        <x:f>IF(OR(J6&gt;0,I6&gt;=2,K6&gt;=2),"Red",IF(OR(I6&gt;0,K6&gt;0),"Amber","Green"))</x:f>
        <x:v>Red</x:v>
      </x:c>
    </x:row>
    <x:row r="7">
      <x:c r="A7" t="str">
        <x:v>Recruitment Analytics</x:v>
      </x:c>
      <x:c r="B7" t="str">
        <x:v>HR Director</x:v>
      </x:c>
      <x:c r="C7" t="str">
        <x:v>F. Saleh</x:v>
      </x:c>
      <x:c r="D7" s="10" t="n">
        <x:v>46250</x:v>
      </x:c>
      <x:c r="E7" s="10" t="n">
        <x:v>46335</x:v>
      </x:c>
      <x:c r="F7" t="n">
        <x:f>COUNTIF(Tasks!$B$2:$B$100,A7)</x:f>
        <x:v>6</x:v>
      </x:c>
      <x:c r="G7" t="n">
        <x:f>COUNTIFS(Tasks!$B$2:$B$100,A7,Tasks!$E$2:$E$100,"Completed")</x:f>
        <x:v>5</x:v>
      </x:c>
      <x:c r="H7" s="12" t="n">
        <x:f>IF(F7=0,0,G7/F7)</x:f>
        <x:v>0.8333333333333334</x:v>
      </x:c>
      <x:c r="I7" t="n">
        <x:f>COUNTIFS(Tasks!$B$2:$B$100,A7,Tasks!$E$2:$E$100,"&lt;&gt;Completed",Tasks!$H$2:$H$100,"&lt;"&amp;Dashboard!$B$3)</x:f>
        <x:v>1</x:v>
      </x:c>
      <x:c r="J7" t="n">
        <x:f>COUNTIFS(Tasks!$B$2:$B$100,A7,Tasks!$E$2:$E$100,"Blocked")</x:f>
        <x:v>1</x:v>
      </x:c>
      <x:c r="K7" t="n">
        <x:f>COUNTIFS(RAID!$B$2:$B$100,A7,RAID!$H$2:$H$100,"&lt;&gt;Closed")</x:f>
        <x:v>1</x:v>
      </x:c>
      <x:c r="L7" t="str">
        <x:f>IF(OR(J7&gt;0,I7&gt;=2,K7&gt;=2),"Red",IF(OR(I7&gt;0,K7&gt;0),"Amber","Green"))</x:f>
        <x:v>Red</x:v>
      </x:c>
    </x:row>
  </x:sheetData>
  <x:conditionalFormatting sqref="H2:H7">
    <x:cfRule type="dataBar" priority="1">
      <x:dataBar>
        <x:cfvo type="min"/>
        <x:cfvo type="max"/>
        <x:color rgb="FF70AD47"/>
      </x:dataBar>
      <x:extLst>
        <x:ext xmlns:x14="http://schemas.microsoft.com/office/spreadsheetml/2009/9/main" uri="{B025F937-C7B1-47D3-B67F-A62EFF666E3E}">
          <x14:id>{FBD53CE6-9EB0-9C14-93FC-0880309E4331}</x14:id>
        </x:ext>
      </x:extLst>
    </x:cfRule>
  </x:conditionalFormatting>
  <x:conditionalFormatting sqref="L2:L7">
    <x:cfRule type="expression" dxfId="5" priority="2">
      <x:formula>L2="Red"</x:formula>
    </x:cfRule>
    <x:cfRule type="expression" dxfId="6" priority="3">
      <x:formula>L2="Amber"</x:formula>
    </x:cfRule>
    <x:cfRule type="expression" dxfId="7" priority="4">
      <x:formula>L2="Green"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e3187122f3448a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BD53CE6-9EB0-9C14-93FC-0880309E4331}">
            <x14:dataBar gradient="1">
              <x14:cfvo type="min"/>
              <x14:cfvo type="max"/>
              <x14:fillColor rgb="FF70AD47"/>
            </x14:dataBar>
          </x14:cfRule>
          <xm:sqref>H2:H7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6" hidden="0" customWidth="1"/>
    <x:col min="3" max="3" width="16" hidden="0" customWidth="1"/>
    <x:col min="4" max="4" width="16" hidden="0" customWidth="1"/>
    <x:col min="5" max="5" width="14" hidden="0" customWidth="1"/>
    <x:col min="6" max="6" width="11" hidden="0" customWidth="1"/>
    <x:col min="7" max="7" width="13" hidden="0" customWidth="1"/>
    <x:col min="8" max="8" width="13" hidden="0" customWidth="1"/>
    <x:col min="9" max="9" width="13" hidden="0" customWidth="1"/>
    <x:col min="10" max="10" width="11" hidden="0" customWidth="1"/>
    <x:col min="11" max="11" width="12" hidden="0" customWidth="1"/>
    <x:col min="12" max="12" width="24" hidden="0" customWidth="1"/>
  </x:cols>
  <x:sheetData>
    <x:row r="1">
      <x:c r="A1" s="14" t="str">
        <x:v>Task ID</x:v>
      </x:c>
      <x:c r="B1" s="14" t="str">
        <x:v>Project</x:v>
      </x:c>
      <x:c r="C1" s="14" t="str">
        <x:v>Workstream</x:v>
      </x:c>
      <x:c r="D1" s="14" t="str">
        <x:v>Owner</x:v>
      </x:c>
      <x:c r="E1" s="14" t="str">
        <x:v>Status</x:v>
      </x:c>
      <x:c r="F1" s="14" t="str">
        <x:v>Priority</x:v>
      </x:c>
      <x:c r="G1" s="14" t="str">
        <x:v>Start Date</x:v>
      </x:c>
      <x:c r="H1" s="14" t="str">
        <x:v>Due Date</x:v>
      </x:c>
      <x:c r="I1" s="14" t="str">
        <x:v>Completion Date</x:v>
      </x:c>
      <x:c r="J1" s="14" t="str">
        <x:v>Progress %</x:v>
      </x:c>
      <x:c r="K1" s="14" t="str">
        <x:v>Days Variance</x:v>
      </x:c>
      <x:c r="L1" s="14" t="str">
        <x:v>Notes</x:v>
      </x:c>
    </x:row>
    <x:row r="2">
      <x:c r="A2" s="15" t="str">
        <x:v>T-001</x:v>
      </x:c>
      <x:c r="B2" s="15" t="str">
        <x:v>PMO Governance Upgrade</x:v>
      </x:c>
      <x:c r="C2" s="15" t="str">
        <x:v>Governance</x:v>
      </x:c>
      <x:c r="D2" s="15" t="str">
        <x:v>R. Albloushi</x:v>
      </x:c>
      <x:c r="E2" s="15" t="str">
        <x:v>Completed</x:v>
      </x:c>
      <x:c r="F2" s="15" t="str">
        <x:v>High</x:v>
      </x:c>
      <x:c r="G2" s="16" t="n">
        <x:v>46235</x:v>
      </x:c>
      <x:c r="H2" s="16" t="n">
        <x:v>46249</x:v>
      </x:c>
      <x:c r="I2" s="16" t="n">
        <x:v>46250</x:v>
      </x:c>
      <x:c r="J2" s="17" t="n">
        <x:v>1</x:v>
      </x:c>
      <x:c r="K2" s="15" t="n">
        <x:f>IF(E2="Completed",IF(I2="","",I2-H2),Dashboard!$B$3-H2)</x:f>
        <x:v>1</x:v>
      </x:c>
      <x:c r="L2" s="15" t="str">
        <x:v>Synthetic portfolio data</x:v>
      </x:c>
    </x:row>
    <x:row r="3">
      <x:c r="A3" s="15" t="str">
        <x:v>T-002</x:v>
      </x:c>
      <x:c r="B3" s="15" t="str">
        <x:v>Executive Reporting Pack</x:v>
      </x:c>
      <x:c r="C3" s="15" t="str">
        <x:v>Reporting</x:v>
      </x:c>
      <x:c r="D3" s="15" t="str">
        <x:v>A. Hassan</x:v>
      </x:c>
      <x:c r="E3" s="15" t="str">
        <x:v>In Progress</x:v>
      </x:c>
      <x:c r="F3" s="15" t="str">
        <x:v>High</x:v>
      </x:c>
      <x:c r="G3" s="16" t="n">
        <x:v>46238</x:v>
      </x:c>
      <x:c r="H3" s="16" t="n">
        <x:v>46256</x:v>
      </x:c>
      <x:c r="I3" s="16"/>
      <x:c r="J3" s="17" t="n">
        <x:v>0.5</x:v>
      </x:c>
      <x:c r="K3" s="15" t="n">
        <x:f>IF(E3="Completed",IF(I3="","",I3-H3),Dashboard!$B$3-H3)</x:f>
        <x:v>36</x:v>
      </x:c>
      <x:c r="L3" s="15" t="str">
        <x:v>Synthetic portfolio data</x:v>
      </x:c>
    </x:row>
    <x:row r="4">
      <x:c r="A4" s="15" t="str">
        <x:v>T-003</x:v>
      </x:c>
      <x:c r="B4" s="15" t="str">
        <x:v>Customer Service SLA</x:v>
      </x:c>
      <x:c r="C4" s="15" t="str">
        <x:v>Service</x:v>
      </x:c>
      <x:c r="D4" s="15" t="str">
        <x:v>M. Khan</x:v>
      </x:c>
      <x:c r="E4" s="15" t="str">
        <x:v>In Progress</x:v>
      </x:c>
      <x:c r="F4" s="15" t="str">
        <x:v>Medium</x:v>
      </x:c>
      <x:c r="G4" s="16" t="n">
        <x:v>46241</x:v>
      </x:c>
      <x:c r="H4" s="16" t="n">
        <x:v>46263</x:v>
      </x:c>
      <x:c r="I4" s="16"/>
      <x:c r="J4" s="17" t="n">
        <x:v>0.6</x:v>
      </x:c>
      <x:c r="K4" s="15" t="n">
        <x:f>IF(E4="Completed",IF(I4="","",I4-H4),Dashboard!$B$3-H4)</x:f>
        <x:v>29</x:v>
      </x:c>
      <x:c r="L4" s="15" t="str">
        <x:v>Synthetic portfolio data</x:v>
      </x:c>
    </x:row>
    <x:row r="5">
      <x:c r="A5" s="15" t="str">
        <x:v>T-004</x:v>
      </x:c>
      <x:c r="B5" s="15" t="str">
        <x:v>Inventory Accuracy</x:v>
      </x:c>
      <x:c r="C5" s="15" t="str">
        <x:v>Inventory</x:v>
      </x:c>
      <x:c r="D5" s="15" t="str">
        <x:v>S. Omar</x:v>
      </x:c>
      <x:c r="E5" s="15" t="str">
        <x:v>Blocked</x:v>
      </x:c>
      <x:c r="F5" s="15" t="str">
        <x:v>Critical</x:v>
      </x:c>
      <x:c r="G5" s="16" t="n">
        <x:v>46244</x:v>
      </x:c>
      <x:c r="H5" s="16" t="n">
        <x:v>46270</x:v>
      </x:c>
      <x:c r="I5" s="16"/>
      <x:c r="J5" s="17" t="n">
        <x:v>0.2</x:v>
      </x:c>
      <x:c r="K5" s="15" t="n">
        <x:f>IF(E5="Completed",IF(I5="","",I5-H5),Dashboard!$B$3-H5)</x:f>
        <x:v>22</x:v>
      </x:c>
      <x:c r="L5" s="15" t="str">
        <x:v>Synthetic portfolio data</x:v>
      </x:c>
    </x:row>
    <x:row r="6">
      <x:c r="A6" s="15" t="str">
        <x:v>T-005</x:v>
      </x:c>
      <x:c r="B6" s="15" t="str">
        <x:v>Warehouse Process Improvement</x:v>
      </x:c>
      <x:c r="C6" s="15" t="str">
        <x:v>Process</x:v>
      </x:c>
      <x:c r="D6" s="15" t="str">
        <x:v>N. Ali</x:v>
      </x:c>
      <x:c r="E6" s="15" t="str">
        <x:v>Not Started</x:v>
      </x:c>
      <x:c r="F6" s="15" t="str">
        <x:v>Medium</x:v>
      </x:c>
      <x:c r="G6" s="16" t="n">
        <x:v>46247</x:v>
      </x:c>
      <x:c r="H6" s="16" t="n">
        <x:v>46277</x:v>
      </x:c>
      <x:c r="I6" s="16"/>
      <x:c r="J6" s="17" t="n">
        <x:v>0</x:v>
      </x:c>
      <x:c r="K6" s="15" t="n">
        <x:f>IF(E6="Completed",IF(I6="","",I6-H6),Dashboard!$B$3-H6)</x:f>
        <x:v>15</x:v>
      </x:c>
      <x:c r="L6" s="15" t="str">
        <x:v>Synthetic portfolio data</x:v>
      </x:c>
    </x:row>
    <x:row r="7">
      <x:c r="A7" s="15" t="str">
        <x:v>T-006</x:v>
      </x:c>
      <x:c r="B7" s="15" t="str">
        <x:v>Recruitment Analytics</x:v>
      </x:c>
      <x:c r="C7" s="15" t="str">
        <x:v>Analytics</x:v>
      </x:c>
      <x:c r="D7" s="15" t="str">
        <x:v>F. Saleh</x:v>
      </x:c>
      <x:c r="E7" s="15" t="str">
        <x:v>Completed</x:v>
      </x:c>
      <x:c r="F7" s="15" t="str">
        <x:v>High</x:v>
      </x:c>
      <x:c r="G7" s="16" t="n">
        <x:v>46250</x:v>
      </x:c>
      <x:c r="H7" s="16" t="n">
        <x:v>46264</x:v>
      </x:c>
      <x:c r="I7" s="16" t="n">
        <x:v>46264</x:v>
      </x:c>
      <x:c r="J7" s="17" t="n">
        <x:v>1</x:v>
      </x:c>
      <x:c r="K7" s="15" t="n">
        <x:f>IF(E7="Completed",IF(I7="","",I7-H7),Dashboard!$B$3-H7)</x:f>
        <x:v>0</x:v>
      </x:c>
      <x:c r="L7" s="15" t="str">
        <x:v>Synthetic portfolio data</x:v>
      </x:c>
    </x:row>
    <x:row r="8">
      <x:c r="A8" s="15" t="str">
        <x:v>T-007</x:v>
      </x:c>
      <x:c r="B8" s="15" t="str">
        <x:v>PMO Governance Upgrade</x:v>
      </x:c>
      <x:c r="C8" s="15" t="str">
        <x:v>Governance</x:v>
      </x:c>
      <x:c r="D8" s="15" t="str">
        <x:v>R. Albloushi</x:v>
      </x:c>
      <x:c r="E8" s="15" t="str">
        <x:v>In Progress</x:v>
      </x:c>
      <x:c r="F8" s="15" t="str">
        <x:v>Medium</x:v>
      </x:c>
      <x:c r="G8" s="16" t="n">
        <x:v>46253</x:v>
      </x:c>
      <x:c r="H8" s="16" t="n">
        <x:v>46271</x:v>
      </x:c>
      <x:c r="I8" s="16"/>
      <x:c r="J8" s="17" t="n">
        <x:v>0.5</x:v>
      </x:c>
      <x:c r="K8" s="15" t="n">
        <x:f>IF(E8="Completed",IF(I8="","",I8-H8),Dashboard!$B$3-H8)</x:f>
        <x:v>21</x:v>
      </x:c>
      <x:c r="L8" s="15" t="str">
        <x:v>Synthetic portfolio data</x:v>
      </x:c>
    </x:row>
    <x:row r="9">
      <x:c r="A9" s="15" t="str">
        <x:v>T-008</x:v>
      </x:c>
      <x:c r="B9" s="15" t="str">
        <x:v>Executive Reporting Pack</x:v>
      </x:c>
      <x:c r="C9" s="15" t="str">
        <x:v>Reporting</x:v>
      </x:c>
      <x:c r="D9" s="15" t="str">
        <x:v>A. Hassan</x:v>
      </x:c>
      <x:c r="E9" s="15" t="str">
        <x:v>Completed</x:v>
      </x:c>
      <x:c r="F9" s="15" t="str">
        <x:v>Low</x:v>
      </x:c>
      <x:c r="G9" s="16" t="n">
        <x:v>46256</x:v>
      </x:c>
      <x:c r="H9" s="16" t="n">
        <x:v>46278</x:v>
      </x:c>
      <x:c r="I9" s="16" t="n">
        <x:v>46276</x:v>
      </x:c>
      <x:c r="J9" s="17" t="n">
        <x:v>1</x:v>
      </x:c>
      <x:c r="K9" s="15" t="n">
        <x:f>IF(E9="Completed",IF(I9="","",I9-H9),Dashboard!$B$3-H9)</x:f>
        <x:v>-2</x:v>
      </x:c>
      <x:c r="L9" s="15" t="str">
        <x:v>Synthetic portfolio data</x:v>
      </x:c>
    </x:row>
    <x:row r="10">
      <x:c r="A10" s="15" t="str">
        <x:v>T-009</x:v>
      </x:c>
      <x:c r="B10" s="15" t="str">
        <x:v>Customer Service SLA</x:v>
      </x:c>
      <x:c r="C10" s="15" t="str">
        <x:v>Service</x:v>
      </x:c>
      <x:c r="D10" s="15" t="str">
        <x:v>M. Khan</x:v>
      </x:c>
      <x:c r="E10" s="15" t="str">
        <x:v>Blocked</x:v>
      </x:c>
      <x:c r="F10" s="15" t="str">
        <x:v>Critical</x:v>
      </x:c>
      <x:c r="G10" s="16" t="n">
        <x:v>46259</x:v>
      </x:c>
      <x:c r="H10" s="16" t="n">
        <x:v>46285</x:v>
      </x:c>
      <x:c r="I10" s="16"/>
      <x:c r="J10" s="17" t="n">
        <x:v>0.55</x:v>
      </x:c>
      <x:c r="K10" s="15" t="n">
        <x:f>IF(E10="Completed",IF(I10="","",I10-H10),Dashboard!$B$3-H10)</x:f>
        <x:v>7</x:v>
      </x:c>
      <x:c r="L10" s="15" t="str">
        <x:v>Synthetic portfolio data</x:v>
      </x:c>
    </x:row>
    <x:row r="11">
      <x:c r="A11" s="15" t="str">
        <x:v>T-010</x:v>
      </x:c>
      <x:c r="B11" s="15" t="str">
        <x:v>Inventory Accuracy</x:v>
      </x:c>
      <x:c r="C11" s="15" t="str">
        <x:v>Inventory</x:v>
      </x:c>
      <x:c r="D11" s="15" t="str">
        <x:v>S. Omar</x:v>
      </x:c>
      <x:c r="E11" s="15" t="str">
        <x:v>In Progress</x:v>
      </x:c>
      <x:c r="F11" s="15" t="str">
        <x:v>High</x:v>
      </x:c>
      <x:c r="G11" s="16" t="n">
        <x:v>46262</x:v>
      </x:c>
      <x:c r="H11" s="16" t="n">
        <x:v>46292</x:v>
      </x:c>
      <x:c r="I11" s="16"/>
      <x:c r="J11" s="17" t="n">
        <x:v>0.85</x:v>
      </x:c>
      <x:c r="K11" s="15" t="n">
        <x:f>IF(E11="Completed",IF(I11="","",I11-H11),Dashboard!$B$3-H11)</x:f>
        <x:v>0</x:v>
      </x:c>
      <x:c r="L11" s="15" t="str">
        <x:v>Synthetic portfolio data</x:v>
      </x:c>
    </x:row>
    <x:row r="12">
      <x:c r="A12" s="15" t="str">
        <x:v>T-011</x:v>
      </x:c>
      <x:c r="B12" s="15" t="str">
        <x:v>Warehouse Process Improvement</x:v>
      </x:c>
      <x:c r="C12" s="15" t="str">
        <x:v>Process</x:v>
      </x:c>
      <x:c r="D12" s="15" t="str">
        <x:v>N. Ali</x:v>
      </x:c>
      <x:c r="E12" s="15" t="str">
        <x:v>Not Started</x:v>
      </x:c>
      <x:c r="F12" s="15" t="str">
        <x:v>Medium</x:v>
      </x:c>
      <x:c r="G12" s="16" t="n">
        <x:v>46265</x:v>
      </x:c>
      <x:c r="H12" s="16" t="n">
        <x:v>46279</x:v>
      </x:c>
      <x:c r="I12" s="16"/>
      <x:c r="J12" s="17" t="n">
        <x:v>0</x:v>
      </x:c>
      <x:c r="K12" s="15" t="n">
        <x:f>IF(E12="Completed",IF(I12="","",I12-H12),Dashboard!$B$3-H12)</x:f>
        <x:v>13</x:v>
      </x:c>
      <x:c r="L12" s="15" t="str">
        <x:v>Synthetic portfolio data</x:v>
      </x:c>
    </x:row>
    <x:row r="13">
      <x:c r="A13" s="15" t="str">
        <x:v>T-012</x:v>
      </x:c>
      <x:c r="B13" s="15" t="str">
        <x:v>Recruitment Analytics</x:v>
      </x:c>
      <x:c r="C13" s="15" t="str">
        <x:v>Analytics</x:v>
      </x:c>
      <x:c r="D13" s="15" t="str">
        <x:v>F. Saleh</x:v>
      </x:c>
      <x:c r="E13" s="15" t="str">
        <x:v>Completed</x:v>
      </x:c>
      <x:c r="F13" s="15" t="str">
        <x:v>High</x:v>
      </x:c>
      <x:c r="G13" s="16" t="n">
        <x:v>46268</x:v>
      </x:c>
      <x:c r="H13" s="16" t="n">
        <x:v>46286</x:v>
      </x:c>
      <x:c r="I13" s="16" t="n">
        <x:v>46284</x:v>
      </x:c>
      <x:c r="J13" s="17" t="n">
        <x:v>1</x:v>
      </x:c>
      <x:c r="K13" s="15" t="n">
        <x:f>IF(E13="Completed",IF(I13="","",I13-H13),Dashboard!$B$3-H13)</x:f>
        <x:v>-2</x:v>
      </x:c>
      <x:c r="L13" s="15" t="str">
        <x:v>Synthetic portfolio data</x:v>
      </x:c>
    </x:row>
    <x:row r="14">
      <x:c r="A14" s="15" t="str">
        <x:v>T-013</x:v>
      </x:c>
      <x:c r="B14" s="15" t="str">
        <x:v>PMO Governance Upgrade</x:v>
      </x:c>
      <x:c r="C14" s="15" t="str">
        <x:v>Governance</x:v>
      </x:c>
      <x:c r="D14" s="15" t="str">
        <x:v>R. Albloushi</x:v>
      </x:c>
      <x:c r="E14" s="15" t="str">
        <x:v>In Progress</x:v>
      </x:c>
      <x:c r="F14" s="15" t="str">
        <x:v>Critical</x:v>
      </x:c>
      <x:c r="G14" s="16" t="n">
        <x:v>46235</x:v>
      </x:c>
      <x:c r="H14" s="16" t="n">
        <x:v>46257</x:v>
      </x:c>
      <x:c r="I14" s="16"/>
      <x:c r="J14" s="17" t="n">
        <x:v>0.6</x:v>
      </x:c>
      <x:c r="K14" s="15" t="n">
        <x:f>IF(E14="Completed",IF(I14="","",I14-H14),Dashboard!$B$3-H14)</x:f>
        <x:v>35</x:v>
      </x:c>
      <x:c r="L14" s="15" t="str">
        <x:v>Synthetic portfolio data</x:v>
      </x:c>
    </x:row>
    <x:row r="15">
      <x:c r="A15" s="15" t="str">
        <x:v>T-014</x:v>
      </x:c>
      <x:c r="B15" s="15" t="str">
        <x:v>Executive Reporting Pack</x:v>
      </x:c>
      <x:c r="C15" s="15" t="str">
        <x:v>Reporting</x:v>
      </x:c>
      <x:c r="D15" s="15" t="str">
        <x:v>A. Hassan</x:v>
      </x:c>
      <x:c r="E15" s="15" t="str">
        <x:v>In Progress</x:v>
      </x:c>
      <x:c r="F15" s="15" t="str">
        <x:v>Medium</x:v>
      </x:c>
      <x:c r="G15" s="16" t="n">
        <x:v>46238</x:v>
      </x:c>
      <x:c r="H15" s="16" t="n">
        <x:v>46264</x:v>
      </x:c>
      <x:c r="I15" s="16"/>
      <x:c r="J15" s="17" t="n">
        <x:v>0.75</x:v>
      </x:c>
      <x:c r="K15" s="15" t="n">
        <x:f>IF(E15="Completed",IF(I15="","",I15-H15),Dashboard!$B$3-H15)</x:f>
        <x:v>28</x:v>
      </x:c>
      <x:c r="L15" s="15" t="str">
        <x:v>Synthetic portfolio data</x:v>
      </x:c>
    </x:row>
    <x:row r="16">
      <x:c r="A16" s="15" t="str">
        <x:v>T-015</x:v>
      </x:c>
      <x:c r="B16" s="15" t="str">
        <x:v>Customer Service SLA</x:v>
      </x:c>
      <x:c r="C16" s="15" t="str">
        <x:v>Service</x:v>
      </x:c>
      <x:c r="D16" s="15" t="str">
        <x:v>M. Khan</x:v>
      </x:c>
      <x:c r="E16" s="15" t="str">
        <x:v>Completed</x:v>
      </x:c>
      <x:c r="F16" s="15" t="str">
        <x:v>High</x:v>
      </x:c>
      <x:c r="G16" s="16" t="n">
        <x:v>46241</x:v>
      </x:c>
      <x:c r="H16" s="16" t="n">
        <x:v>46271</x:v>
      </x:c>
      <x:c r="I16" s="16" t="n">
        <x:v>46270</x:v>
      </x:c>
      <x:c r="J16" s="17" t="n">
        <x:v>1</x:v>
      </x:c>
      <x:c r="K16" s="15" t="n">
        <x:f>IF(E16="Completed",IF(I16="","",I16-H16),Dashboard!$B$3-H16)</x:f>
        <x:v>-1</x:v>
      </x:c>
      <x:c r="L16" s="15" t="str">
        <x:v>Synthetic portfolio data</x:v>
      </x:c>
    </x:row>
    <x:row r="17">
      <x:c r="A17" s="15" t="str">
        <x:v>T-016</x:v>
      </x:c>
      <x:c r="B17" s="15" t="str">
        <x:v>Inventory Accuracy</x:v>
      </x:c>
      <x:c r="C17" s="15" t="str">
        <x:v>Inventory</x:v>
      </x:c>
      <x:c r="D17" s="15" t="str">
        <x:v>S. Omar</x:v>
      </x:c>
      <x:c r="E17" s="15" t="str">
        <x:v>Blocked</x:v>
      </x:c>
      <x:c r="F17" s="15" t="str">
        <x:v>High</x:v>
      </x:c>
      <x:c r="G17" s="16" t="n">
        <x:v>46244</x:v>
      </x:c>
      <x:c r="H17" s="16" t="n">
        <x:v>46258</x:v>
      </x:c>
      <x:c r="I17" s="16"/>
      <x:c r="J17" s="17" t="n">
        <x:v>0.2</x:v>
      </x:c>
      <x:c r="K17" s="15" t="n">
        <x:f>IF(E17="Completed",IF(I17="","",I17-H17),Dashboard!$B$3-H17)</x:f>
        <x:v>34</x:v>
      </x:c>
      <x:c r="L17" s="15" t="str">
        <x:v>Synthetic portfolio data</x:v>
      </x:c>
    </x:row>
    <x:row r="18">
      <x:c r="A18" s="15" t="str">
        <x:v>T-017</x:v>
      </x:c>
      <x:c r="B18" s="15" t="str">
        <x:v>Warehouse Process Improvement</x:v>
      </x:c>
      <x:c r="C18" s="15" t="str">
        <x:v>Process</x:v>
      </x:c>
      <x:c r="D18" s="15" t="str">
        <x:v>N. Ali</x:v>
      </x:c>
      <x:c r="E18" s="15" t="str">
        <x:v>Not Started</x:v>
      </x:c>
      <x:c r="F18" s="15" t="str">
        <x:v>Low</x:v>
      </x:c>
      <x:c r="G18" s="16" t="n">
        <x:v>46247</x:v>
      </x:c>
      <x:c r="H18" s="16" t="n">
        <x:v>46265</x:v>
      </x:c>
      <x:c r="I18" s="16"/>
      <x:c r="J18" s="17" t="n">
        <x:v>0</x:v>
      </x:c>
      <x:c r="K18" s="15" t="n">
        <x:f>IF(E18="Completed",IF(I18="","",I18-H18),Dashboard!$B$3-H18)</x:f>
        <x:v>27</x:v>
      </x:c>
      <x:c r="L18" s="15" t="str">
        <x:v>Synthetic portfolio data</x:v>
      </x:c>
    </x:row>
    <x:row r="19">
      <x:c r="A19" s="15" t="str">
        <x:v>T-018</x:v>
      </x:c>
      <x:c r="B19" s="15" t="str">
        <x:v>Recruitment Analytics</x:v>
      </x:c>
      <x:c r="C19" s="15" t="str">
        <x:v>Analytics</x:v>
      </x:c>
      <x:c r="D19" s="15" t="str">
        <x:v>F. Saleh</x:v>
      </x:c>
      <x:c r="E19" s="15" t="str">
        <x:v>Completed</x:v>
      </x:c>
      <x:c r="F19" s="15" t="str">
        <x:v>Medium</x:v>
      </x:c>
      <x:c r="G19" s="16" t="n">
        <x:v>46250</x:v>
      </x:c>
      <x:c r="H19" s="16" t="n">
        <x:v>46272</x:v>
      </x:c>
      <x:c r="I19" s="16" t="n">
        <x:v>46272</x:v>
      </x:c>
      <x:c r="J19" s="17" t="n">
        <x:v>1</x:v>
      </x:c>
      <x:c r="K19" s="15" t="n">
        <x:f>IF(E19="Completed",IF(I19="","",I19-H19),Dashboard!$B$3-H19)</x:f>
        <x:v>0</x:v>
      </x:c>
      <x:c r="L19" s="15" t="str">
        <x:v>Synthetic portfolio data</x:v>
      </x:c>
    </x:row>
    <x:row r="20">
      <x:c r="A20" s="15" t="str">
        <x:v>T-019</x:v>
      </x:c>
      <x:c r="B20" s="15" t="str">
        <x:v>PMO Governance Upgrade</x:v>
      </x:c>
      <x:c r="C20" s="15" t="str">
        <x:v>Governance</x:v>
      </x:c>
      <x:c r="D20" s="15" t="str">
        <x:v>R. Albloushi</x:v>
      </x:c>
      <x:c r="E20" s="15" t="str">
        <x:v>Completed</x:v>
      </x:c>
      <x:c r="F20" s="15" t="str">
        <x:v>Medium</x:v>
      </x:c>
      <x:c r="G20" s="16" t="n">
        <x:v>46253</x:v>
      </x:c>
      <x:c r="H20" s="16" t="n">
        <x:v>46279</x:v>
      </x:c>
      <x:c r="I20" s="16" t="n">
        <x:v>46278</x:v>
      </x:c>
      <x:c r="J20" s="17" t="n">
        <x:v>1</x:v>
      </x:c>
      <x:c r="K20" s="15" t="n">
        <x:f>IF(E20="Completed",IF(I20="","",I20-H20),Dashboard!$B$3-H20)</x:f>
        <x:v>-1</x:v>
      </x:c>
      <x:c r="L20" s="15" t="str">
        <x:v>Synthetic portfolio data</x:v>
      </x:c>
    </x:row>
    <x:row r="21">
      <x:c r="A21" s="15" t="str">
        <x:v>T-020</x:v>
      </x:c>
      <x:c r="B21" s="15" t="str">
        <x:v>Executive Reporting Pack</x:v>
      </x:c>
      <x:c r="C21" s="15" t="str">
        <x:v>Reporting</x:v>
      </x:c>
      <x:c r="D21" s="15" t="str">
        <x:v>A. Hassan</x:v>
      </x:c>
      <x:c r="E21" s="15" t="str">
        <x:v>In Progress</x:v>
      </x:c>
      <x:c r="F21" s="15" t="str">
        <x:v>High</x:v>
      </x:c>
      <x:c r="G21" s="16" t="n">
        <x:v>46256</x:v>
      </x:c>
      <x:c r="H21" s="16" t="n">
        <x:v>46286</x:v>
      </x:c>
      <x:c r="I21" s="16"/>
      <x:c r="J21" s="17" t="n">
        <x:v>0.85</x:v>
      </x:c>
      <x:c r="K21" s="15" t="n">
        <x:f>IF(E21="Completed",IF(I21="","",I21-H21),Dashboard!$B$3-H21)</x:f>
        <x:v>6</x:v>
      </x:c>
      <x:c r="L21" s="15" t="str">
        <x:v>Synthetic portfolio data</x:v>
      </x:c>
    </x:row>
    <x:row r="22">
      <x:c r="A22" s="15" t="str">
        <x:v>T-021</x:v>
      </x:c>
      <x:c r="B22" s="15" t="str">
        <x:v>Customer Service SLA</x:v>
      </x:c>
      <x:c r="C22" s="15" t="str">
        <x:v>Service</x:v>
      </x:c>
      <x:c r="D22" s="15" t="str">
        <x:v>M. Khan</x:v>
      </x:c>
      <x:c r="E22" s="15" t="str">
        <x:v>In Progress</x:v>
      </x:c>
      <x:c r="F22" s="15" t="str">
        <x:v>Critical</x:v>
      </x:c>
      <x:c r="G22" s="16" t="n">
        <x:v>46259</x:v>
      </x:c>
      <x:c r="H22" s="16" t="n">
        <x:v>46273</x:v>
      </x:c>
      <x:c r="I22" s="16"/>
      <x:c r="J22" s="17" t="n">
        <x:v>0.35</x:v>
      </x:c>
      <x:c r="K22" s="15" t="n">
        <x:f>IF(E22="Completed",IF(I22="","",I22-H22),Dashboard!$B$3-H22)</x:f>
        <x:v>19</x:v>
      </x:c>
      <x:c r="L22" s="15" t="str">
        <x:v>Synthetic portfolio data</x:v>
      </x:c>
    </x:row>
    <x:row r="23">
      <x:c r="A23" s="15" t="str">
        <x:v>T-022</x:v>
      </x:c>
      <x:c r="B23" s="15" t="str">
        <x:v>Inventory Accuracy</x:v>
      </x:c>
      <x:c r="C23" s="15" t="str">
        <x:v>Inventory</x:v>
      </x:c>
      <x:c r="D23" s="15" t="str">
        <x:v>S. Omar</x:v>
      </x:c>
      <x:c r="E23" s="15" t="str">
        <x:v>Not Started</x:v>
      </x:c>
      <x:c r="F23" s="15" t="str">
        <x:v>Low</x:v>
      </x:c>
      <x:c r="G23" s="16" t="n">
        <x:v>46262</x:v>
      </x:c>
      <x:c r="H23" s="16" t="n">
        <x:v>46280</x:v>
      </x:c>
      <x:c r="I23" s="16"/>
      <x:c r="J23" s="17" t="n">
        <x:v>0</x:v>
      </x:c>
      <x:c r="K23" s="15" t="n">
        <x:f>IF(E23="Completed",IF(I23="","",I23-H23),Dashboard!$B$3-H23)</x:f>
        <x:v>12</x:v>
      </x:c>
      <x:c r="L23" s="15" t="str">
        <x:v>Synthetic portfolio data</x:v>
      </x:c>
    </x:row>
    <x:row r="24">
      <x:c r="A24" s="15" t="str">
        <x:v>T-023</x:v>
      </x:c>
      <x:c r="B24" s="15" t="str">
        <x:v>Warehouse Process Improvement</x:v>
      </x:c>
      <x:c r="C24" s="15" t="str">
        <x:v>Process</x:v>
      </x:c>
      <x:c r="D24" s="15" t="str">
        <x:v>N. Ali</x:v>
      </x:c>
      <x:c r="E24" s="15" t="str">
        <x:v>Blocked</x:v>
      </x:c>
      <x:c r="F24" s="15" t="str">
        <x:v>High</x:v>
      </x:c>
      <x:c r="G24" s="16" t="n">
        <x:v>46265</x:v>
      </x:c>
      <x:c r="H24" s="16" t="n">
        <x:v>46287</x:v>
      </x:c>
      <x:c r="I24" s="16"/>
      <x:c r="J24" s="17" t="n">
        <x:v>0.4</x:v>
      </x:c>
      <x:c r="K24" s="15" t="n">
        <x:f>IF(E24="Completed",IF(I24="","",I24-H24),Dashboard!$B$3-H24)</x:f>
        <x:v>5</x:v>
      </x:c>
      <x:c r="L24" s="15" t="str">
        <x:v>Synthetic portfolio data</x:v>
      </x:c>
    </x:row>
    <x:row r="25">
      <x:c r="A25" s="15" t="str">
        <x:v>T-024</x:v>
      </x:c>
      <x:c r="B25" s="15" t="str">
        <x:v>Recruitment Analytics</x:v>
      </x:c>
      <x:c r="C25" s="15" t="str">
        <x:v>Analytics</x:v>
      </x:c>
      <x:c r="D25" s="15" t="str">
        <x:v>F. Saleh</x:v>
      </x:c>
      <x:c r="E25" s="15" t="str">
        <x:v>Completed</x:v>
      </x:c>
      <x:c r="F25" s="15" t="str">
        <x:v>Medium</x:v>
      </x:c>
      <x:c r="G25" s="16" t="n">
        <x:v>46268</x:v>
      </x:c>
      <x:c r="H25" s="16" t="n">
        <x:v>46294</x:v>
      </x:c>
      <x:c r="I25" s="16" t="n">
        <x:v>46292</x:v>
      </x:c>
      <x:c r="J25" s="17" t="n">
        <x:v>1</x:v>
      </x:c>
      <x:c r="K25" s="15" t="n">
        <x:f>IF(E25="Completed",IF(I25="","",I25-H25),Dashboard!$B$3-H25)</x:f>
        <x:v>-2</x:v>
      </x:c>
      <x:c r="L25" s="15" t="str">
        <x:v>Synthetic portfolio data</x:v>
      </x:c>
    </x:row>
    <x:row r="26">
      <x:c r="A26" s="15" t="str">
        <x:v>T-025</x:v>
      </x:c>
      <x:c r="B26" s="15" t="str">
        <x:v>PMO Governance Upgrade</x:v>
      </x:c>
      <x:c r="C26" s="15" t="str">
        <x:v>Governance</x:v>
      </x:c>
      <x:c r="D26" s="15" t="str">
        <x:v>R. Albloushi</x:v>
      </x:c>
      <x:c r="E26" s="15" t="str">
        <x:v>In Progress</x:v>
      </x:c>
      <x:c r="F26" s="15" t="str">
        <x:v>High</x:v>
      </x:c>
      <x:c r="G26" s="16" t="n">
        <x:v>46235</x:v>
      </x:c>
      <x:c r="H26" s="16" t="n">
        <x:v>46265</x:v>
      </x:c>
      <x:c r="I26" s="16"/>
      <x:c r="J26" s="17" t="n">
        <x:v>0.85</x:v>
      </x:c>
      <x:c r="K26" s="15" t="n">
        <x:f>IF(E26="Completed",IF(I26="","",I26-H26),Dashboard!$B$3-H26)</x:f>
        <x:v>27</x:v>
      </x:c>
      <x:c r="L26" s="15" t="str">
        <x:v>Synthetic portfolio data</x:v>
      </x:c>
    </x:row>
    <x:row r="27">
      <x:c r="A27" s="15" t="str">
        <x:v>T-026</x:v>
      </x:c>
      <x:c r="B27" s="15" t="str">
        <x:v>Executive Reporting Pack</x:v>
      </x:c>
      <x:c r="C27" s="15" t="str">
        <x:v>Reporting</x:v>
      </x:c>
      <x:c r="D27" s="15" t="str">
        <x:v>A. Hassan</x:v>
      </x:c>
      <x:c r="E27" s="15" t="str">
        <x:v>Completed</x:v>
      </x:c>
      <x:c r="F27" s="15" t="str">
        <x:v>Medium</x:v>
      </x:c>
      <x:c r="G27" s="16" t="n">
        <x:v>46238</x:v>
      </x:c>
      <x:c r="H27" s="16" t="n">
        <x:v>46252</x:v>
      </x:c>
      <x:c r="I27" s="16" t="n">
        <x:v>46252</x:v>
      </x:c>
      <x:c r="J27" s="17" t="n">
        <x:v>1</x:v>
      </x:c>
      <x:c r="K27" s="15" t="n">
        <x:f>IF(E27="Completed",IF(I27="","",I27-H27),Dashboard!$B$3-H27)</x:f>
        <x:v>0</x:v>
      </x:c>
      <x:c r="L27" s="15" t="str">
        <x:v>Synthetic portfolio data</x:v>
      </x:c>
    </x:row>
    <x:row r="28">
      <x:c r="A28" s="15" t="str">
        <x:v>T-027</x:v>
      </x:c>
      <x:c r="B28" s="15" t="str">
        <x:v>Customer Service SLA</x:v>
      </x:c>
      <x:c r="C28" s="15" t="str">
        <x:v>Service</x:v>
      </x:c>
      <x:c r="D28" s="15" t="str">
        <x:v>M. Khan</x:v>
      </x:c>
      <x:c r="E28" s="15" t="str">
        <x:v>Not Started</x:v>
      </x:c>
      <x:c r="F28" s="15" t="str">
        <x:v>Low</x:v>
      </x:c>
      <x:c r="G28" s="16" t="n">
        <x:v>46241</x:v>
      </x:c>
      <x:c r="H28" s="16" t="n">
        <x:v>46259</x:v>
      </x:c>
      <x:c r="I28" s="16"/>
      <x:c r="J28" s="17" t="n">
        <x:v>0</x:v>
      </x:c>
      <x:c r="K28" s="15" t="n">
        <x:f>IF(E28="Completed",IF(I28="","",I28-H28),Dashboard!$B$3-H28)</x:f>
        <x:v>33</x:v>
      </x:c>
      <x:c r="L28" s="15" t="str">
        <x:v>Synthetic portfolio data</x:v>
      </x:c>
    </x:row>
    <x:row r="29">
      <x:c r="A29" s="15" t="str">
        <x:v>T-028</x:v>
      </x:c>
      <x:c r="B29" s="15" t="str">
        <x:v>Inventory Accuracy</x:v>
      </x:c>
      <x:c r="C29" s="15" t="str">
        <x:v>Inventory</x:v>
      </x:c>
      <x:c r="D29" s="15" t="str">
        <x:v>S. Omar</x:v>
      </x:c>
      <x:c r="E29" s="15" t="str">
        <x:v>In Progress</x:v>
      </x:c>
      <x:c r="F29" s="15" t="str">
        <x:v>Critical</x:v>
      </x:c>
      <x:c r="G29" s="16" t="n">
        <x:v>46244</x:v>
      </x:c>
      <x:c r="H29" s="16" t="n">
        <x:v>46266</x:v>
      </x:c>
      <x:c r="I29" s="16"/>
      <x:c r="J29" s="17" t="n">
        <x:v>0.6</x:v>
      </x:c>
      <x:c r="K29" s="15" t="n">
        <x:f>IF(E29="Completed",IF(I29="","",I29-H29),Dashboard!$B$3-H29)</x:f>
        <x:v>26</x:v>
      </x:c>
      <x:c r="L29" s="15" t="str">
        <x:v>Synthetic portfolio data</x:v>
      </x:c>
    </x:row>
    <x:row r="30">
      <x:c r="A30" s="15" t="str">
        <x:v>T-029</x:v>
      </x:c>
      <x:c r="B30" s="15" t="str">
        <x:v>Warehouse Process Improvement</x:v>
      </x:c>
      <x:c r="C30" s="15" t="str">
        <x:v>Process</x:v>
      </x:c>
      <x:c r="D30" s="15" t="str">
        <x:v>N. Ali</x:v>
      </x:c>
      <x:c r="E30" s="15" t="str">
        <x:v>Completed</x:v>
      </x:c>
      <x:c r="F30" s="15" t="str">
        <x:v>High</x:v>
      </x:c>
      <x:c r="G30" s="16" t="n">
        <x:v>46247</x:v>
      </x:c>
      <x:c r="H30" s="16" t="n">
        <x:v>46273</x:v>
      </x:c>
      <x:c r="I30" s="16" t="n">
        <x:v>46274</x:v>
      </x:c>
      <x:c r="J30" s="17" t="n">
        <x:v>1</x:v>
      </x:c>
      <x:c r="K30" s="15" t="n">
        <x:f>IF(E30="Completed",IF(I30="","",I30-H30),Dashboard!$B$3-H30)</x:f>
        <x:v>1</x:v>
      </x:c>
      <x:c r="L30" s="15" t="str">
        <x:v>Synthetic portfolio data</x:v>
      </x:c>
    </x:row>
    <x:row r="31">
      <x:c r="A31" s="15" t="str">
        <x:v>T-030</x:v>
      </x:c>
      <x:c r="B31" s="15" t="str">
        <x:v>Recruitment Analytics</x:v>
      </x:c>
      <x:c r="C31" s="15" t="str">
        <x:v>Analytics</x:v>
      </x:c>
      <x:c r="D31" s="15" t="str">
        <x:v>F. Saleh</x:v>
      </x:c>
      <x:c r="E31" s="15" t="str">
        <x:v>Blocked</x:v>
      </x:c>
      <x:c r="F31" s="15" t="str">
        <x:v>High</x:v>
      </x:c>
      <x:c r="G31" s="16" t="n">
        <x:v>46250</x:v>
      </x:c>
      <x:c r="H31" s="16" t="n">
        <x:v>46280</x:v>
      </x:c>
      <x:c r="I31" s="16"/>
      <x:c r="J31" s="17" t="n">
        <x:v>0.55</x:v>
      </x:c>
      <x:c r="K31" s="15" t="n">
        <x:f>IF(E31="Completed",IF(I31="","",I31-H31),Dashboard!$B$3-H31)</x:f>
        <x:v>12</x:v>
      </x:c>
      <x:c r="L31" s="15" t="str">
        <x:v>Synthetic portfolio data</x:v>
      </x:c>
    </x:row>
    <x:row r="32">
      <x:c r="A32" s="15" t="str">
        <x:v>T-031</x:v>
      </x:c>
      <x:c r="B32" s="15" t="str">
        <x:v>PMO Governance Upgrade</x:v>
      </x:c>
      <x:c r="C32" s="15" t="str">
        <x:v>Governance</x:v>
      </x:c>
      <x:c r="D32" s="15" t="str">
        <x:v>R. Albloushi</x:v>
      </x:c>
      <x:c r="E32" s="15" t="str">
        <x:v>Completed</x:v>
      </x:c>
      <x:c r="F32" s="15" t="str">
        <x:v>Medium</x:v>
      </x:c>
      <x:c r="G32" s="16" t="n">
        <x:v>46253</x:v>
      </x:c>
      <x:c r="H32" s="16" t="n">
        <x:v>46267</x:v>
      </x:c>
      <x:c r="I32" s="16" t="n">
        <x:v>46266</x:v>
      </x:c>
      <x:c r="J32" s="17" t="n">
        <x:v>1</x:v>
      </x:c>
      <x:c r="K32" s="15" t="n">
        <x:f>IF(E32="Completed",IF(I32="","",I32-H32),Dashboard!$B$3-H32)</x:f>
        <x:v>-1</x:v>
      </x:c>
      <x:c r="L32" s="15" t="str">
        <x:v>Synthetic portfolio data</x:v>
      </x:c>
    </x:row>
    <x:row r="33">
      <x:c r="A33" s="15" t="str">
        <x:v>T-032</x:v>
      </x:c>
      <x:c r="B33" s="15" t="str">
        <x:v>Executive Reporting Pack</x:v>
      </x:c>
      <x:c r="C33" s="15" t="str">
        <x:v>Reporting</x:v>
      </x:c>
      <x:c r="D33" s="15" t="str">
        <x:v>A. Hassan</x:v>
      </x:c>
      <x:c r="E33" s="15" t="str">
        <x:v>In Progress</x:v>
      </x:c>
      <x:c r="F33" s="15" t="str">
        <x:v>High</x:v>
      </x:c>
      <x:c r="G33" s="16" t="n">
        <x:v>46256</x:v>
      </x:c>
      <x:c r="H33" s="16" t="n">
        <x:v>46274</x:v>
      </x:c>
      <x:c r="I33" s="16"/>
      <x:c r="J33" s="17" t="n">
        <x:v>0.5</x:v>
      </x:c>
      <x:c r="K33" s="15" t="n">
        <x:f>IF(E33="Completed",IF(I33="","",I33-H33),Dashboard!$B$3-H33)</x:f>
        <x:v>18</x:v>
      </x:c>
      <x:c r="L33" s="15" t="str">
        <x:v>Synthetic portfolio data</x:v>
      </x:c>
    </x:row>
    <x:row r="34">
      <x:c r="A34" s="15" t="str">
        <x:v>T-033</x:v>
      </x:c>
      <x:c r="B34" s="15" t="str">
        <x:v>Customer Service SLA</x:v>
      </x:c>
      <x:c r="C34" s="15" t="str">
        <x:v>Service</x:v>
      </x:c>
      <x:c r="D34" s="15" t="str">
        <x:v>M. Khan</x:v>
      </x:c>
      <x:c r="E34" s="15" t="str">
        <x:v>Not Started</x:v>
      </x:c>
      <x:c r="F34" s="15" t="str">
        <x:v>Medium</x:v>
      </x:c>
      <x:c r="G34" s="16" t="n">
        <x:v>46259</x:v>
      </x:c>
      <x:c r="H34" s="16" t="n">
        <x:v>46281</x:v>
      </x:c>
      <x:c r="I34" s="16"/>
      <x:c r="J34" s="17" t="n">
        <x:v>0</x:v>
      </x:c>
      <x:c r="K34" s="15" t="n">
        <x:f>IF(E34="Completed",IF(I34="","",I34-H34),Dashboard!$B$3-H34)</x:f>
        <x:v>11</x:v>
      </x:c>
      <x:c r="L34" s="15" t="str">
        <x:v>Synthetic portfolio data</x:v>
      </x:c>
    </x:row>
    <x:row r="35">
      <x:c r="A35" s="15" t="str">
        <x:v>T-034</x:v>
      </x:c>
      <x:c r="B35" s="15" t="str">
        <x:v>Inventory Accuracy</x:v>
      </x:c>
      <x:c r="C35" s="15" t="str">
        <x:v>Inventory</x:v>
      </x:c>
      <x:c r="D35" s="15" t="str">
        <x:v>S. Omar</x:v>
      </x:c>
      <x:c r="E35" s="15" t="str">
        <x:v>Completed</x:v>
      </x:c>
      <x:c r="F35" s="15" t="str">
        <x:v>High</x:v>
      </x:c>
      <x:c r="G35" s="16" t="n">
        <x:v>46262</x:v>
      </x:c>
      <x:c r="H35" s="16" t="n">
        <x:v>46288</x:v>
      </x:c>
      <x:c r="I35" s="16" t="n">
        <x:v>46288</x:v>
      </x:c>
      <x:c r="J35" s="17" t="n">
        <x:v>1</x:v>
      </x:c>
      <x:c r="K35" s="15" t="n">
        <x:f>IF(E35="Completed",IF(I35="","",I35-H35),Dashboard!$B$3-H35)</x:f>
        <x:v>0</x:v>
      </x:c>
      <x:c r="L35" s="15" t="str">
        <x:v>Synthetic portfolio data</x:v>
      </x:c>
    </x:row>
    <x:row r="36">
      <x:c r="A36" s="15" t="str">
        <x:v>T-035</x:v>
      </x:c>
      <x:c r="B36" s="15" t="str">
        <x:v>Warehouse Process Improvement</x:v>
      </x:c>
      <x:c r="C36" s="15" t="str">
        <x:v>Process</x:v>
      </x:c>
      <x:c r="D36" s="15" t="str">
        <x:v>N. Ali</x:v>
      </x:c>
      <x:c r="E36" s="15" t="str">
        <x:v>In Progress</x:v>
      </x:c>
      <x:c r="F36" s="15" t="str">
        <x:v>Critical</x:v>
      </x:c>
      <x:c r="G36" s="16" t="n">
        <x:v>46265</x:v>
      </x:c>
      <x:c r="H36" s="16" t="n">
        <x:v>46295</x:v>
      </x:c>
      <x:c r="I36" s="16"/>
      <x:c r="J36" s="17" t="n">
        <x:v>0.85</x:v>
      </x:c>
      <x:c r="K36" s="15" t="n">
        <x:f>IF(E36="Completed",IF(I36="","",I36-H36),Dashboard!$B$3-H36)</x:f>
        <x:v>-3</x:v>
      </x:c>
      <x:c r="L36" s="15" t="str">
        <x:v>Synthetic portfolio data</x:v>
      </x:c>
    </x:row>
    <x:row r="37">
      <x:c r="A37" s="15" t="str">
        <x:v>T-036</x:v>
      </x:c>
      <x:c r="B37" s="15" t="str">
        <x:v>Recruitment Analytics</x:v>
      </x:c>
      <x:c r="C37" s="15" t="str">
        <x:v>Analytics</x:v>
      </x:c>
      <x:c r="D37" s="15" t="str">
        <x:v>F. Saleh</x:v>
      </x:c>
      <x:c r="E37" s="15" t="str">
        <x:v>Completed</x:v>
      </x:c>
      <x:c r="F37" s="15" t="str">
        <x:v>Low</x:v>
      </x:c>
      <x:c r="G37" s="16" t="n">
        <x:v>46268</x:v>
      </x:c>
      <x:c r="H37" s="16" t="n">
        <x:v>46282</x:v>
      </x:c>
      <x:c r="I37" s="16" t="n">
        <x:v>46280</x:v>
      </x:c>
      <x:c r="J37" s="17" t="n">
        <x:v>1</x:v>
      </x:c>
      <x:c r="K37" s="15" t="n">
        <x:f>IF(E37="Completed",IF(I37="","",I37-H37),Dashboard!$B$3-H37)</x:f>
        <x:v>-2</x:v>
      </x:c>
      <x:c r="L37" s="15" t="str">
        <x:v>Synthetic portfolio data</x:v>
      </x:c>
    </x:row>
  </x:sheetData>
  <x:conditionalFormatting sqref="J2:J37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{6787F56D-09AA-86E1-047E-F78BB597D101}</x14:id>
        </x:ext>
      </x:extLst>
    </x:cfRule>
  </x:conditionalFormatting>
  <x:conditionalFormatting sqref="K2:K37">
    <x:cfRule type="expression" dxfId="0" priority="2">
      <x:formula>K2&gt;0</x:formula>
    </x:cfRule>
  </x:conditionalFormatting>
  <x:conditionalFormatting sqref="E2:E37">
    <x:cfRule type="expression" dxfId="1" priority="3">
      <x:formula>E2="Blocked"</x:formula>
    </x:cfRule>
    <x:cfRule type="expression" dxfId="2" priority="4">
      <x:formula>E2="Completed"</x:formula>
    </x:cfRule>
  </x:conditionalFormatting>
  <x:dataValidations count="2">
    <x:dataValidation type="list" sqref="E2:E86">
      <x:formula1>Lists!$A$2:$A$5</x:formula1>
    </x:dataValidation>
    <x:dataValidation type="list" sqref="F2:F86">
      <x:formula1>Lists!$B$2:$B$5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cc3cf5c74440a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6787F56D-09AA-86E1-047E-F78BB597D101}">
            <x14:dataBar gradient="1">
              <x14:cfvo type="min"/>
              <x14:cfvo type="max"/>
              <x14:fillColor rgb="FF5B9BD5"/>
            </x14:dataBar>
          </x14:cfRule>
          <xm:sqref>J2:J37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6" hidden="0" customWidth="1"/>
    <x:col min="3" max="3" width="13" hidden="0" customWidth="1"/>
    <x:col min="4" max="4" width="34" hidden="0" customWidth="1"/>
    <x:col min="5" max="5" width="16" hidden="0" customWidth="1"/>
    <x:col min="6" max="6" width="12" hidden="0" customWidth="1"/>
    <x:col min="7" max="7" width="12" hidden="0" customWidth="1"/>
    <x:col min="8" max="8" width="12" hidden="0" customWidth="1"/>
    <x:col min="9" max="9" width="13" hidden="0" customWidth="1"/>
    <x:col min="10" max="10" width="34" hidden="0" customWidth="1"/>
  </x:cols>
  <x:sheetData>
    <x:row r="1">
      <x:c r="A1" s="14" t="str">
        <x:v>RAID ID</x:v>
      </x:c>
      <x:c r="B1" s="14" t="str">
        <x:v>Project</x:v>
      </x:c>
      <x:c r="C1" s="14" t="str">
        <x:v>Type</x:v>
      </x:c>
      <x:c r="D1" s="14" t="str">
        <x:v>Description</x:v>
      </x:c>
      <x:c r="E1" s="14" t="str">
        <x:v>Owner</x:v>
      </x:c>
      <x:c r="F1" s="14" t="str">
        <x:v>Impact</x:v>
      </x:c>
      <x:c r="G1" s="14" t="str">
        <x:v>Probability</x:v>
      </x:c>
      <x:c r="H1" s="14" t="str">
        <x:v>Status</x:v>
      </x:c>
      <x:c r="I1" s="14" t="str">
        <x:v>Target Date</x:v>
      </x:c>
      <x:c r="J1" s="14" t="str">
        <x:v>Mitigation / Action</x:v>
      </x:c>
    </x:row>
    <x:row r="2">
      <x:c r="A2" s="15" t="str">
        <x:v>R-001</x:v>
      </x:c>
      <x:c r="B2" s="15" t="str">
        <x:v>PMO Governance Upgrade</x:v>
      </x:c>
      <x:c r="C2" s="15" t="str">
        <x:v>Risk</x:v>
      </x:c>
      <x:c r="D2" s="15" t="str">
        <x:v>Decision approvals may delay stage gates</x:v>
      </x:c>
      <x:c r="E2" s="15" t="str">
        <x:v>R. Albloushi</x:v>
      </x:c>
      <x:c r="F2" s="15" t="str">
        <x:v>High</x:v>
      </x:c>
      <x:c r="G2" s="15" t="str">
        <x:v>Medium</x:v>
      </x:c>
      <x:c r="H2" s="15" t="str">
        <x:v>Monitoring</x:v>
      </x:c>
      <x:c r="I2" s="16" t="n">
        <x:v>46300</x:v>
      </x:c>
      <x:c r="J2" s="15" t="str">
        <x:v>Weekly escalation review</x:v>
      </x:c>
    </x:row>
    <x:row r="3">
      <x:c r="A3" s="15" t="str">
        <x:v>R-002</x:v>
      </x:c>
      <x:c r="B3" s="15" t="str">
        <x:v>Executive Reporting Pack</x:v>
      </x:c>
      <x:c r="C3" s="15" t="str">
        <x:v>Dependency</x:v>
      </x:c>
      <x:c r="D3" s="15" t="str">
        <x:v>Source systems refresh timing</x:v>
      </x:c>
      <x:c r="E3" s="15" t="str">
        <x:v>A. Hassan</x:v>
      </x:c>
      <x:c r="F3" s="15" t="str">
        <x:v>Medium</x:v>
      </x:c>
      <x:c r="G3" s="15" t="str">
        <x:v>High</x:v>
      </x:c>
      <x:c r="H3" s="15" t="str">
        <x:v>Open</x:v>
      </x:c>
      <x:c r="I3" s="16" t="n">
        <x:v>46297</x:v>
      </x:c>
      <x:c r="J3" s="15" t="str">
        <x:v>Lock refresh schedule</x:v>
      </x:c>
    </x:row>
    <x:row r="4">
      <x:c r="A4" s="15" t="str">
        <x:v>R-003</x:v>
      </x:c>
      <x:c r="B4" s="15" t="str">
        <x:v>Customer Service SLA</x:v>
      </x:c>
      <x:c r="C4" s="15" t="str">
        <x:v>Issue</x:v>
      </x:c>
      <x:c r="D4" s="15" t="str">
        <x:v>SLA backlog above target</x:v>
      </x:c>
      <x:c r="E4" s="15" t="str">
        <x:v>M. Khan</x:v>
      </x:c>
      <x:c r="F4" s="15" t="str">
        <x:v>High</x:v>
      </x:c>
      <x:c r="G4" s="15" t="str">
        <x:v>High</x:v>
      </x:c>
      <x:c r="H4" s="15" t="str">
        <x:v>Open</x:v>
      </x:c>
      <x:c r="I4" s="16" t="n">
        <x:v>46295</x:v>
      </x:c>
      <x:c r="J4" s="15" t="str">
        <x:v>Daily recovery queue</x:v>
      </x:c>
    </x:row>
    <x:row r="5">
      <x:c r="A5" s="15" t="str">
        <x:v>R-004</x:v>
      </x:c>
      <x:c r="B5" s="15" t="str">
        <x:v>Inventory Accuracy</x:v>
      </x:c>
      <x:c r="C5" s="15" t="str">
        <x:v>Risk</x:v>
      </x:c>
      <x:c r="D5" s="15" t="str">
        <x:v>Cycle count variance remains volatile</x:v>
      </x:c>
      <x:c r="E5" s="15" t="str">
        <x:v>S. Omar</x:v>
      </x:c>
      <x:c r="F5" s="15" t="str">
        <x:v>High</x:v>
      </x:c>
      <x:c r="G5" s="15" t="str">
        <x:v>Medium</x:v>
      </x:c>
      <x:c r="H5" s="15" t="str">
        <x:v>Monitoring</x:v>
      </x:c>
      <x:c r="I5" s="16" t="n">
        <x:v>46303</x:v>
      </x:c>
      <x:c r="J5" s="15" t="str">
        <x:v>Root-cause review by SKU class</x:v>
      </x:c>
    </x:row>
    <x:row r="6">
      <x:c r="A6" s="15" t="str">
        <x:v>R-005</x:v>
      </x:c>
      <x:c r="B6" s="15" t="str">
        <x:v>Warehouse Process Improvement</x:v>
      </x:c>
      <x:c r="C6" s="15" t="str">
        <x:v>Assumption</x:v>
      </x:c>
      <x:c r="D6" s="15" t="str">
        <x:v>Shift staffing remains stable</x:v>
      </x:c>
      <x:c r="E6" s="15" t="str">
        <x:v>N. Ali</x:v>
      </x:c>
      <x:c r="F6" s="15" t="str">
        <x:v>Medium</x:v>
      </x:c>
      <x:c r="G6" s="15" t="str">
        <x:v>Medium</x:v>
      </x:c>
      <x:c r="H6" s="15" t="str">
        <x:v>Monitoring</x:v>
      </x:c>
      <x:c r="I6" s="16" t="n">
        <x:v>46305</x:v>
      </x:c>
      <x:c r="J6" s="15" t="str">
        <x:v>Validate weekly roster</x:v>
      </x:c>
    </x:row>
    <x:row r="7">
      <x:c r="A7" s="15" t="str">
        <x:v>R-006</x:v>
      </x:c>
      <x:c r="B7" s="15" t="str">
        <x:v>Recruitment Analytics</x:v>
      </x:c>
      <x:c r="C7" s="15" t="str">
        <x:v>Issue</x:v>
      </x:c>
      <x:c r="D7" s="15" t="str">
        <x:v>Candidate source labels inconsistent</x:v>
      </x:c>
      <x:c r="E7" s="15" t="str">
        <x:v>F. Saleh</x:v>
      </x:c>
      <x:c r="F7" s="15" t="str">
        <x:v>Medium</x:v>
      </x:c>
      <x:c r="G7" s="15" t="str">
        <x:v>High</x:v>
      </x:c>
      <x:c r="H7" s="15" t="str">
        <x:v>Open</x:v>
      </x:c>
      <x:c r="I7" s="16" t="n">
        <x:v>46296</x:v>
      </x:c>
      <x:c r="J7" s="15" t="str">
        <x:v>Normalize source taxonomy</x:v>
      </x:c>
    </x:row>
    <x:row r="8">
      <x:c r="A8" s="15" t="str">
        <x:v>R-007</x:v>
      </x:c>
      <x:c r="B8" s="15" t="str">
        <x:v>PMO Governance Upgrade</x:v>
      </x:c>
      <x:c r="C8" s="15" t="str">
        <x:v>Dependency</x:v>
      </x:c>
      <x:c r="D8" s="15" t="str">
        <x:v>Steering committee calendar</x:v>
      </x:c>
      <x:c r="E8" s="15" t="str">
        <x:v>R. Albloushi</x:v>
      </x:c>
      <x:c r="F8" s="15" t="str">
        <x:v>Medium</x:v>
      </x:c>
      <x:c r="G8" s="15" t="str">
        <x:v>Medium</x:v>
      </x:c>
      <x:c r="H8" s="15" t="str">
        <x:v>Closed</x:v>
      </x:c>
      <x:c r="I8" s="16" t="n">
        <x:v>46290</x:v>
      </x:c>
      <x:c r="J8" s="15" t="str">
        <x:v>Calendar confirmed</x:v>
      </x:c>
    </x:row>
    <x:row r="9">
      <x:c r="A9" s="15" t="str">
        <x:v>R-008</x:v>
      </x:c>
      <x:c r="B9" s="15" t="str">
        <x:v>Customer Service SLA</x:v>
      </x:c>
      <x:c r="C9" s="15" t="str">
        <x:v>Risk</x:v>
      </x:c>
      <x:c r="D9" s="15" t="str">
        <x:v>Repeat contacts increasing</x:v>
      </x:c>
      <x:c r="E9" s="15" t="str">
        <x:v>M. Khan</x:v>
      </x:c>
      <x:c r="F9" s="15" t="str">
        <x:v>Medium</x:v>
      </x:c>
      <x:c r="G9" s="15" t="str">
        <x:v>Medium</x:v>
      </x:c>
      <x:c r="H9" s="15" t="str">
        <x:v>Open</x:v>
      </x:c>
      <x:c r="I9" s="16" t="n">
        <x:v>46301</x:v>
      </x:c>
      <x:c r="J9" s="15" t="str">
        <x:v>Introduce first-contact-resolution review</x:v>
      </x:c>
    </x:row>
  </x:sheetData>
  <x:conditionalFormatting sqref="H2:H9">
    <x:cfRule type="expression" dxfId="3" priority="1">
      <x:formula>H2="Open"</x:formula>
    </x:cfRule>
    <x:cfRule type="expression" dxfId="4" priority="2">
      <x:formula>H2="Closed"</x:formula>
    </x:cfRule>
  </x:conditionalFormatting>
  <x:dataValidations count="2">
    <x:dataValidation type="list" sqref="C2:C28">
      <x:formula1>Lists!$C$2:$C$5</x:formula1>
    </x:dataValidation>
    <x:dataValidation type="list" sqref="H2:H28">
      <x:formula1>Lists!$D$2:$D$4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c36de55e6a456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880000114440918" hidden="0" customWidth="1"/>
    <x:col min="3" max="3" width="9.880000114440918" hidden="0" customWidth="1"/>
    <x:col min="4" max="4" width="9.5" hidden="0" customWidth="1"/>
  </x:cols>
  <x:sheetData>
    <x:row r="1">
      <x:c r="A1" s="5" t="str">
        <x:v>Status</x:v>
      </x:c>
      <x:c r="B1" s="5" t="str">
        <x:v>Priority</x:v>
      </x:c>
      <x:c r="C1" s="5" t="str">
        <x:v>RAID Type</x:v>
      </x:c>
      <x:c r="D1" s="5" t="str">
        <x:v>RAID Status</x:v>
      </x:c>
    </x:row>
    <x:row r="2">
      <x:c r="A2" t="str">
        <x:v>Not Started</x:v>
      </x:c>
      <x:c r="B2" t="str">
        <x:v>Low</x:v>
      </x:c>
      <x:c r="C2" t="str">
        <x:v>Risk</x:v>
      </x:c>
      <x:c r="D2" t="str">
        <x:v>Open</x:v>
      </x:c>
    </x:row>
    <x:row r="3">
      <x:c r="A3" t="str">
        <x:v>In Progress</x:v>
      </x:c>
      <x:c r="B3" t="str">
        <x:v>Medium</x:v>
      </x:c>
      <x:c r="C3" t="str">
        <x:v>Assumption</x:v>
      </x:c>
      <x:c r="D3" t="str">
        <x:v>Monitoring</x:v>
      </x:c>
    </x:row>
    <x:row r="4">
      <x:c r="A4" t="str">
        <x:v>Blocked</x:v>
      </x:c>
      <x:c r="B4" t="str">
        <x:v>High</x:v>
      </x:c>
      <x:c r="C4" t="str">
        <x:v>Issue</x:v>
      </x:c>
      <x:c r="D4" t="str">
        <x:v>Closed</x:v>
      </x:c>
    </x:row>
    <x:row r="5">
      <x:c r="A5" t="str">
        <x:v>Completed</x:v>
      </x:c>
      <x:c r="B5" t="str">
        <x:v>Critical</x:v>
      </x:c>
      <x:c r="C5" t="str">
        <x:v>Dependency</x:v>
      </x:c>
      <x:c r="D5" t="str"/>
    </x:row>
  </x:sheetData>
  <x:pageMargins left="0.7" right="0.7" top="0.75" bottom="0.75" header="0.3" footer="0.3"/>
</x:worksheet>
</file>